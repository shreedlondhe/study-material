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Raw Data" state="visible" r:id="rId5"/>
    <sheet sheetId="3" name="Bid Form" state="visible" r:id="rId6"/>
    <sheet sheetId="4" name="3rd Party Assets" state="visible" r:id="rId7"/>
  </sheets>
  <calcPr calcId="171027"/>
</workbook>
</file>

<file path=xl/sharedStrings.xml><?xml version="1.0" encoding="utf-8"?>
<sst xmlns="http://schemas.openxmlformats.org/spreadsheetml/2006/main" count="1060" uniqueCount="197">
  <si>
    <t>Region</t>
  </si>
  <si>
    <t>Country</t>
  </si>
  <si>
    <t>LOB</t>
  </si>
  <si>
    <t>Quantity</t>
  </si>
  <si>
    <t>ABU</t>
  </si>
  <si>
    <t>United States</t>
  </si>
  <si>
    <t>Laptops</t>
  </si>
  <si>
    <t>3rd Party Assets</t>
  </si>
  <si>
    <t>Total Assets</t>
  </si>
  <si>
    <t>Notes from EDPs for "BOM Qty. Assumption" (if any):</t>
  </si>
  <si>
    <t>Config ID</t>
  </si>
  <si>
    <t>SVC_TAG_ID</t>
  </si>
  <si>
    <t>SEQ_NBR</t>
  </si>
  <si>
    <t>PART_NBR</t>
  </si>
  <si>
    <t>PART_DESC</t>
  </si>
  <si>
    <t>COMDTY_CD</t>
  </si>
  <si>
    <t>COMDTY_DESC</t>
  </si>
  <si>
    <t>CFI_FLG</t>
  </si>
  <si>
    <t>ALT_TYPE_DESC</t>
  </si>
  <si>
    <t>ALT_PRODUCT_DESC</t>
  </si>
  <si>
    <t>PART_QTY</t>
  </si>
  <si>
    <t>CUST_BU_ID</t>
  </si>
  <si>
    <t>BRAND_DESC</t>
  </si>
  <si>
    <t>RGN_ABBR</t>
  </si>
  <si>
    <t>CTRY_DESC</t>
  </si>
  <si>
    <t>CNTRCT_STRT_DTS</t>
  </si>
  <si>
    <t>CNTRCT_END_DTS</t>
  </si>
  <si>
    <t>Category</t>
  </si>
  <si>
    <t>Is_Restricted_Part</t>
  </si>
  <si>
    <t>Restricted_PART_NBR</t>
  </si>
  <si>
    <t>Restricted_PART_DESC</t>
  </si>
  <si>
    <t>CFG_6D1C8708</t>
  </si>
  <si>
    <t>1Q9S433</t>
  </si>
  <si>
    <t>28389638210.0</t>
  </si>
  <si>
    <t>5DHY4</t>
  </si>
  <si>
    <t>SSDR,512G,P34,80S3,HYNIX,PC611</t>
  </si>
  <si>
    <t>STR</t>
  </si>
  <si>
    <t>Storage</t>
  </si>
  <si>
    <t/>
  </si>
  <si>
    <t>CLIENT SOLUTIONS PBU</t>
  </si>
  <si>
    <t>XPS NOTEBOOKS</t>
  </si>
  <si>
    <t>1</t>
  </si>
  <si>
    <t>11</t>
  </si>
  <si>
    <t>XPS 15 7590</t>
  </si>
  <si>
    <t>AMER</t>
  </si>
  <si>
    <t>2020-04-30</t>
  </si>
  <si>
    <t>2028-04-28 00:19:02.000</t>
  </si>
  <si>
    <t>No</t>
  </si>
  <si>
    <t>28389638180.0</t>
  </si>
  <si>
    <t>VYV0G</t>
  </si>
  <si>
    <t>ASSY,BASE,NBK,I7-9750H,G0,7590</t>
  </si>
  <si>
    <t>BAS</t>
  </si>
  <si>
    <t>Base</t>
  </si>
  <si>
    <t>28389638290.0</t>
  </si>
  <si>
    <t>MWP1T</t>
  </si>
  <si>
    <t>LCD,15.6FHD,AG,SHARP</t>
  </si>
  <si>
    <t>PER</t>
  </si>
  <si>
    <t>Peripheral</t>
  </si>
  <si>
    <t>28389638320.0</t>
  </si>
  <si>
    <t>HYXPX</t>
  </si>
  <si>
    <t>DIMM,8GB,2666,1RX8,8G,DDR4,S</t>
  </si>
  <si>
    <t>MEM</t>
  </si>
  <si>
    <t>Memory</t>
  </si>
  <si>
    <t>2</t>
  </si>
  <si>
    <t>CFG_52AC911B</t>
  </si>
  <si>
    <t>3WYZ573</t>
  </si>
  <si>
    <t>29475236690.0</t>
  </si>
  <si>
    <t>6RVRC</t>
  </si>
  <si>
    <t>PWA,PLN,T,U,VI7-8665U,TBT,5400</t>
  </si>
  <si>
    <t>PLR</t>
  </si>
  <si>
    <t>Planer</t>
  </si>
  <si>
    <t>LATITUDE NOTEBOOK</t>
  </si>
  <si>
    <t>LATITUDE 5400</t>
  </si>
  <si>
    <t>2020-09-29</t>
  </si>
  <si>
    <t>2024-09-29 23:59:59.421</t>
  </si>
  <si>
    <t>29475236700.0</t>
  </si>
  <si>
    <t>HN4TM</t>
  </si>
  <si>
    <t>LCD,14FHD,AG,220NITS,BENT,BOE</t>
  </si>
  <si>
    <t>29475236750.0</t>
  </si>
  <si>
    <t>CRXJ6</t>
  </si>
  <si>
    <t>DIMM,16GB,2666,2RX8,8G,DDR4,S</t>
  </si>
  <si>
    <t>29475236790.0</t>
  </si>
  <si>
    <t>PD9KD</t>
  </si>
  <si>
    <t>ASSY,BASE,L10,5400</t>
  </si>
  <si>
    <t>29475236760.0</t>
  </si>
  <si>
    <t>PH4MY</t>
  </si>
  <si>
    <t>SSDR,512G,P34,30S3,SMSNG,PM991</t>
  </si>
  <si>
    <t>CFG_B60E90F6</t>
  </si>
  <si>
    <t>6VBQR53</t>
  </si>
  <si>
    <t>29465749930.0</t>
  </si>
  <si>
    <t>R2KXG</t>
  </si>
  <si>
    <t>ASSY,BASE,NBK,I3-1005G1,U</t>
  </si>
  <si>
    <t>INSPIRON NOTEBOOKS</t>
  </si>
  <si>
    <t>INSPIRON 3493</t>
  </si>
  <si>
    <t>2020-10-01</t>
  </si>
  <si>
    <t>2028-09-29 09:44:07.000</t>
  </si>
  <si>
    <t>29465749990.0</t>
  </si>
  <si>
    <t>27V9K</t>
  </si>
  <si>
    <t>HD,1TB,5.4,2.5,7,SM,SGT-RWR</t>
  </si>
  <si>
    <t>29465750000.0</t>
  </si>
  <si>
    <t>KN2NM</t>
  </si>
  <si>
    <t>DIMM,4GB,2666,1RX16,8G,DDR4,S</t>
  </si>
  <si>
    <t>29465750010.0</t>
  </si>
  <si>
    <t>37V0F</t>
  </si>
  <si>
    <t>LCD,14.0,HDF,AG,INX</t>
  </si>
  <si>
    <t>7QR0673</t>
  </si>
  <si>
    <t>29475237530.0</t>
  </si>
  <si>
    <t>2021-09-29 23:59:59.280</t>
  </si>
  <si>
    <t>29475237480.0</t>
  </si>
  <si>
    <t>29475237570.0</t>
  </si>
  <si>
    <t>29475237540.0</t>
  </si>
  <si>
    <t>29475237470.0</t>
  </si>
  <si>
    <t>CFG_CB938E4D</t>
  </si>
  <si>
    <t>9V6MZ54</t>
  </si>
  <si>
    <t>40925607780.0</t>
  </si>
  <si>
    <t>22N03</t>
  </si>
  <si>
    <t>ASSY,BASE,NBK,U7-155H,U,32T4VN</t>
  </si>
  <si>
    <t>XPS 9440</t>
  </si>
  <si>
    <t>2024-09-24</t>
  </si>
  <si>
    <t>2032-09-24 06:36:28.000</t>
  </si>
  <si>
    <t>40925607750.0</t>
  </si>
  <si>
    <t>H67NN</t>
  </si>
  <si>
    <t>ASSY,TFR,US,ENG,LIGHT GRAY</t>
  </si>
  <si>
    <t>MSC</t>
  </si>
  <si>
    <t>Miscellaneous</t>
  </si>
  <si>
    <t>40925607840.0</t>
  </si>
  <si>
    <t>VKXHP</t>
  </si>
  <si>
    <t>SSDR,1TB,P44,30S3,WDC,SN740</t>
  </si>
  <si>
    <t>40925607720.0</t>
  </si>
  <si>
    <t>HPXJN</t>
  </si>
  <si>
    <t>LCD,14.5FHD+,BENT,LGD</t>
  </si>
  <si>
    <t>HV2V533</t>
  </si>
  <si>
    <t>28389638650.0</t>
  </si>
  <si>
    <t>28389638540.0</t>
  </si>
  <si>
    <t>28389638680.0</t>
  </si>
  <si>
    <t>28389638570.0</t>
  </si>
  <si>
    <t>CFG_BE71D9FD</t>
  </si>
  <si>
    <t>J8NT533</t>
  </si>
  <si>
    <t>28389638500.0</t>
  </si>
  <si>
    <t>2021-04-30 23:59:59.420</t>
  </si>
  <si>
    <t>28389638470.0</t>
  </si>
  <si>
    <t>28389638360.0</t>
  </si>
  <si>
    <t>28389638390.0</t>
  </si>
  <si>
    <t>Y5Y15</t>
  </si>
  <si>
    <t>SSDR,512,P34,80S3,MICRON,2200S</t>
  </si>
  <si>
    <t>Grand Total</t>
  </si>
  <si>
    <t>USD</t>
  </si>
  <si>
    <t>Product Type</t>
  </si>
  <si>
    <t>Product Model</t>
  </si>
  <si>
    <t>Components</t>
  </si>
  <si>
    <t>Commodity Name</t>
  </si>
  <si>
    <t>Commodity Qty</t>
  </si>
  <si>
    <t>Restricted Part</t>
  </si>
  <si>
    <t>Per Unit Value Back</t>
  </si>
  <si>
    <t>Service Fee (Per Unit)</t>
  </si>
  <si>
    <t>Logistics Fees (Per Unit)</t>
  </si>
  <si>
    <t>Extended Value Back</t>
  </si>
  <si>
    <t>AssetIDs</t>
  </si>
  <si>
    <t>267015</t>
  </si>
  <si>
    <t>267014|267016</t>
  </si>
  <si>
    <t>267013|267018</t>
  </si>
  <si>
    <t>267019</t>
  </si>
  <si>
    <t>267017</t>
  </si>
  <si>
    <t>Product</t>
  </si>
  <si>
    <t>Configuration</t>
  </si>
  <si>
    <t>Config Quantity</t>
  </si>
  <si>
    <t>Commercials</t>
  </si>
  <si>
    <t>Manufacturer</t>
  </si>
  <si>
    <t>Model</t>
  </si>
  <si>
    <t>Processor</t>
  </si>
  <si>
    <t>Qty</t>
  </si>
  <si>
    <t>Hard Drives*</t>
  </si>
  <si>
    <t>Peripherals / Special Configurations*</t>
  </si>
  <si>
    <t>Total</t>
  </si>
  <si>
    <t>Currency</t>
  </si>
  <si>
    <t>Dell</t>
  </si>
  <si>
    <t>DELL Lat 5500 Ci5 1.6</t>
  </si>
  <si>
    <t>Laptop</t>
  </si>
  <si>
    <t>Dell Latitude 5330 XCTO Basique</t>
  </si>
  <si>
    <t>DELL LATITUDE 5340 XCTO Basique</t>
  </si>
  <si>
    <t>HP</t>
  </si>
  <si>
    <t>Esxi-6.0.0 (Two series VM)</t>
  </si>
  <si>
    <t>RACK</t>
  </si>
  <si>
    <t>Proliant DL180 G6</t>
  </si>
  <si>
    <t>Proliant ML350 G6</t>
  </si>
  <si>
    <t>Tower</t>
  </si>
  <si>
    <t>IBM</t>
  </si>
  <si>
    <t>BM e Server Blade Center</t>
  </si>
  <si>
    <t>X346</t>
  </si>
  <si>
    <t>X3650</t>
  </si>
  <si>
    <t>X3650 M3</t>
  </si>
  <si>
    <t>Lenovo</t>
  </si>
  <si>
    <t>LENOVO THINKPAD 13S -IML 20RR Ci</t>
  </si>
  <si>
    <t>Intel Core i7 12th Gen</t>
  </si>
  <si>
    <t>16GB</t>
  </si>
  <si>
    <t>512GB</t>
  </si>
  <si>
    <t>UHD Graphics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</si>
</sst>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</font>
    <font>
      <color rgb="FFFFFFFF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005C99"/>
      </patternFill>
    </fill>
    <fill>
      <patternFill patternType="solid">
        <fgColor rgb="FF0076CE"/>
      </patternFill>
    </fill>
    <fill>
      <patternFill patternType="solid">
        <fgColor rgb="FFD9F5FD"/>
      </patternFill>
    </fill>
    <fill>
      <patternFill patternType="solid">
        <fgColor rgb="FFEEF9D6"/>
      </patternFill>
    </fill>
    <fill>
      <patternFill patternType="solid">
        <fgColor rgb="FFC6EF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 style="medium">
        <color rgb="FFFFFFFF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vertical="top" wrapText="1"/>
    </xf>
    <xf numFmtId="0" fontId="2" fillId="0" borderId="0" xfId="0" applyFont="1"/>
    <xf numFmtId="1" fontId="0" fillId="0" borderId="0" xfId="0" applyNumberFormat="1"/>
    <xf numFmtId="164" fontId="0" fillId="0" borderId="0" xfId="0" applyNumberFormat="1"/>
    <xf numFmtId="0" fontId="2" fillId="0" borderId="0" xfId="0" applyFont="1" applyAlignment="1">
      <alignment horizontal="left" vertical="center"/>
    </xf>
    <xf numFmtId="1" fontId="2" fillId="0" borderId="0" xfId="0" applyNumberFormat="1" applyFont="1" applyAlignment="1">
      <alignment vertical="center"/>
    </xf>
    <xf numFmtId="164" fontId="2" fillId="0" borderId="0" xfId="0" applyNumberFormat="1" applyFont="1" applyAlignment="1">
      <alignment horizontal="right" vertical="center"/>
    </xf>
    <xf numFmtId="0" fontId="1" fillId="0" borderId="0" xfId="0" applyFont="1"/>
    <xf numFmtId="0" fontId="1" fillId="3" borderId="2" xfId="0" applyFont="1" applyFill="1" applyBorder="1"/>
    <xf numFmtId="1" fontId="1" fillId="3" borderId="2" xfId="0" applyNumberFormat="1" applyFont="1" applyFill="1" applyBorder="1"/>
    <xf numFmtId="164" fontId="1" fillId="4" borderId="0" xfId="0" applyNumberFormat="1" applyFont="1" applyFill="1"/>
    <xf numFmtId="0" fontId="0" fillId="5" borderId="0" xfId="0" applyFill="1"/>
    <xf numFmtId="1" fontId="0" fillId="5" borderId="0" xfId="0" applyNumberFormat="1" applyFill="1"/>
    <xf numFmtId="0" fontId="0" fillId="5" borderId="0" xfId="0" applyFill="1" applyAlignment="1">
      <alignment horizontal="center" vertical="center"/>
    </xf>
    <xf numFmtId="164" fontId="0" fillId="6" borderId="0" xfId="0" applyNumberFormat="1" applyFill="1"/>
    <xf numFmtId="0" fontId="3" fillId="0" borderId="0" xfId="0" applyFont="1"/>
    <xf numFmtId="0" fontId="2" fillId="7" borderId="0" xfId="0" applyFont="1" applyFill="1" applyAlignment="1">
      <alignment horizontal="center" vertical="center"/>
    </xf>
    <xf numFmtId="0" fontId="2" fillId="0" borderId="0" xfId="0" applyFont="1" applyAlignment="1">
      <alignment horizontal="right" vertical="center"/>
    </xf>
    <xf numFmtId="3" fontId="2" fillId="0" borderId="0" xfId="0" applyNumberFormat="1" applyFont="1"/>
    <xf numFmtId="164" fontId="2" fillId="0" borderId="0" xfId="0" applyNumberFormat="1" applyFont="1" applyAlignment="1">
      <alignment horizontal="right"/>
    </xf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3" fontId="0" fillId="0" borderId="0" xfId="0" applyNumberFormat="1"/>
    <xf numFmtId="16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F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3" max="3" width="12" customWidth="1"/>
    <col min="4" max="4" width="17" customWidth="1"/>
    <col min="5" max="5" width="24" customWidth="1"/>
    <col min="6" max="6" width="12" customWidth="1"/>
  </cols>
  <sheetData>
    <row r="1" ht="20" customHeight="1" spans="3:6" x14ac:dyDescent="0.25">
      <c r="C1" s="1" t="s">
        <v>0</v>
      </c>
      <c r="D1" s="1" t="s">
        <v>1</v>
      </c>
      <c r="E1" s="1" t="s">
        <v>2</v>
      </c>
      <c r="F1" s="1" t="s">
        <v>3</v>
      </c>
    </row>
    <row r="2" spans="3:6" x14ac:dyDescent="0.25">
      <c r="C2" s="2" t="s">
        <v>4</v>
      </c>
      <c r="D2" s="2" t="s">
        <v>5</v>
      </c>
      <c r="E2" s="2" t="s">
        <v>6</v>
      </c>
      <c r="F2" s="3">
        <v>7</v>
      </c>
    </row>
    <row r="3" spans="3:6" x14ac:dyDescent="0.25">
      <c r="C3" s="2" t="s">
        <v>4</v>
      </c>
      <c r="D3" s="2" t="s">
        <v>5</v>
      </c>
      <c r="E3" s="2" t="s">
        <v>7</v>
      </c>
      <c r="F3" s="3">
        <v>15</v>
      </c>
    </row>
    <row r="4" spans="5:6" x14ac:dyDescent="0.25">
      <c r="E4" s="4" t="s">
        <v>8</v>
      </c>
      <c r="F4" s="5">
        <v>22</v>
      </c>
    </row>
    <row r="6" ht="60" customHeight="1" spans="3:6" x14ac:dyDescent="0.25">
      <c r="C6" s="6" t="s">
        <v>9</v>
      </c>
      <c r="D6" s="6"/>
      <c r="E6" s="6"/>
      <c r="F6" s="6"/>
    </row>
  </sheetData>
  <mergeCells count="1">
    <mergeCell ref="C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21" s="7" customFormat="1" x14ac:dyDescent="0.25">
      <c r="A1" s="7" t="s">
        <v>10</v>
      </c>
      <c r="B1" s="7" t="s">
        <v>11</v>
      </c>
      <c r="C1" s="7" t="s">
        <v>12</v>
      </c>
      <c r="D1" s="7" t="s">
        <v>13</v>
      </c>
      <c r="E1" s="7" t="s">
        <v>14</v>
      </c>
      <c r="F1" s="7" t="s">
        <v>15</v>
      </c>
      <c r="G1" s="7" t="s">
        <v>16</v>
      </c>
      <c r="H1" s="7" t="s">
        <v>17</v>
      </c>
      <c r="I1" s="7" t="s">
        <v>18</v>
      </c>
      <c r="J1" s="7" t="s">
        <v>19</v>
      </c>
      <c r="K1" s="7" t="s">
        <v>20</v>
      </c>
      <c r="L1" s="7" t="s">
        <v>21</v>
      </c>
      <c r="M1" s="7" t="s">
        <v>22</v>
      </c>
      <c r="N1" s="7" t="s">
        <v>23</v>
      </c>
      <c r="O1" s="7" t="s">
        <v>24</v>
      </c>
      <c r="P1" s="7" t="s">
        <v>25</v>
      </c>
      <c r="Q1" s="7" t="s">
        <v>26</v>
      </c>
      <c r="R1" s="7" t="s">
        <v>27</v>
      </c>
      <c r="S1" s="7" t="s">
        <v>28</v>
      </c>
      <c r="T1" s="7" t="s">
        <v>29</v>
      </c>
      <c r="U1" s="7" t="s">
        <v>30</v>
      </c>
    </row>
    <row r="2" spans="1:21" x14ac:dyDescent="0.25">
      <c r="A2" t="s">
        <v>31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 t="s">
        <v>39</v>
      </c>
      <c r="J2" t="s">
        <v>40</v>
      </c>
      <c r="K2" t="s">
        <v>41</v>
      </c>
      <c r="L2" t="s">
        <v>42</v>
      </c>
      <c r="M2" t="s">
        <v>43</v>
      </c>
      <c r="N2" t="s">
        <v>44</v>
      </c>
      <c r="O2" t="s">
        <v>5</v>
      </c>
      <c r="P2" t="s">
        <v>45</v>
      </c>
      <c r="Q2" t="s">
        <v>46</v>
      </c>
      <c r="R2" t="s">
        <v>6</v>
      </c>
      <c r="S2" t="s">
        <v>47</v>
      </c>
      <c r="T2" t="s">
        <v>38</v>
      </c>
      <c r="U2" t="s">
        <v>38</v>
      </c>
    </row>
    <row r="3" spans="1:21" x14ac:dyDescent="0.25">
      <c r="A3" t="s">
        <v>31</v>
      </c>
      <c r="B3" t="s">
        <v>32</v>
      </c>
      <c r="C3" t="s">
        <v>48</v>
      </c>
      <c r="D3" t="s">
        <v>49</v>
      </c>
      <c r="E3" t="s">
        <v>50</v>
      </c>
      <c r="F3" t="s">
        <v>51</v>
      </c>
      <c r="G3" t="s">
        <v>52</v>
      </c>
      <c r="H3" t="s">
        <v>38</v>
      </c>
      <c r="I3" t="s">
        <v>39</v>
      </c>
      <c r="J3" t="s">
        <v>40</v>
      </c>
      <c r="K3" t="s">
        <v>41</v>
      </c>
      <c r="L3" t="s">
        <v>42</v>
      </c>
      <c r="M3" t="s">
        <v>43</v>
      </c>
      <c r="N3" t="s">
        <v>44</v>
      </c>
      <c r="O3" t="s">
        <v>5</v>
      </c>
      <c r="P3" t="s">
        <v>45</v>
      </c>
      <c r="Q3" t="s">
        <v>46</v>
      </c>
      <c r="R3" t="s">
        <v>6</v>
      </c>
      <c r="S3" t="s">
        <v>47</v>
      </c>
      <c r="T3" t="s">
        <v>38</v>
      </c>
      <c r="U3" t="s">
        <v>38</v>
      </c>
    </row>
    <row r="4" spans="1:21" x14ac:dyDescent="0.25">
      <c r="A4" t="s">
        <v>31</v>
      </c>
      <c r="B4" t="s">
        <v>32</v>
      </c>
      <c r="C4" t="s">
        <v>53</v>
      </c>
      <c r="D4" t="s">
        <v>54</v>
      </c>
      <c r="E4" t="s">
        <v>55</v>
      </c>
      <c r="F4" t="s">
        <v>56</v>
      </c>
      <c r="G4" t="s">
        <v>57</v>
      </c>
      <c r="H4" t="s">
        <v>38</v>
      </c>
      <c r="I4" t="s">
        <v>39</v>
      </c>
      <c r="J4" t="s">
        <v>40</v>
      </c>
      <c r="K4" t="s">
        <v>41</v>
      </c>
      <c r="L4" t="s">
        <v>42</v>
      </c>
      <c r="M4" t="s">
        <v>43</v>
      </c>
      <c r="N4" t="s">
        <v>44</v>
      </c>
      <c r="O4" t="s">
        <v>5</v>
      </c>
      <c r="P4" t="s">
        <v>45</v>
      </c>
      <c r="Q4" t="s">
        <v>46</v>
      </c>
      <c r="R4" t="s">
        <v>6</v>
      </c>
      <c r="S4" t="s">
        <v>47</v>
      </c>
      <c r="T4" t="s">
        <v>38</v>
      </c>
      <c r="U4" t="s">
        <v>38</v>
      </c>
    </row>
    <row r="5" spans="1:21" x14ac:dyDescent="0.25">
      <c r="A5" t="s">
        <v>31</v>
      </c>
      <c r="B5" t="s">
        <v>32</v>
      </c>
      <c r="C5" t="s">
        <v>58</v>
      </c>
      <c r="D5" t="s">
        <v>59</v>
      </c>
      <c r="E5" t="s">
        <v>60</v>
      </c>
      <c r="F5" t="s">
        <v>61</v>
      </c>
      <c r="G5" t="s">
        <v>62</v>
      </c>
      <c r="H5" t="s">
        <v>38</v>
      </c>
      <c r="I5" t="s">
        <v>39</v>
      </c>
      <c r="J5" t="s">
        <v>40</v>
      </c>
      <c r="K5" t="s">
        <v>63</v>
      </c>
      <c r="L5" t="s">
        <v>42</v>
      </c>
      <c r="M5" t="s">
        <v>43</v>
      </c>
      <c r="N5" t="s">
        <v>44</v>
      </c>
      <c r="O5" t="s">
        <v>5</v>
      </c>
      <c r="P5" t="s">
        <v>45</v>
      </c>
      <c r="Q5" t="s">
        <v>46</v>
      </c>
      <c r="R5" t="s">
        <v>6</v>
      </c>
      <c r="S5" t="s">
        <v>47</v>
      </c>
      <c r="T5" t="s">
        <v>38</v>
      </c>
      <c r="U5" t="s">
        <v>38</v>
      </c>
    </row>
    <row r="6" spans="1:21" x14ac:dyDescent="0.25">
      <c r="A6" t="s">
        <v>64</v>
      </c>
      <c r="B6" t="s">
        <v>65</v>
      </c>
      <c r="C6" t="s">
        <v>66</v>
      </c>
      <c r="D6" t="s">
        <v>67</v>
      </c>
      <c r="E6" t="s">
        <v>68</v>
      </c>
      <c r="F6" t="s">
        <v>69</v>
      </c>
      <c r="G6" t="s">
        <v>70</v>
      </c>
      <c r="H6" t="s">
        <v>38</v>
      </c>
      <c r="I6" t="s">
        <v>39</v>
      </c>
      <c r="J6" t="s">
        <v>71</v>
      </c>
      <c r="K6" t="s">
        <v>41</v>
      </c>
      <c r="L6" t="s">
        <v>42</v>
      </c>
      <c r="M6" t="s">
        <v>72</v>
      </c>
      <c r="N6" t="s">
        <v>44</v>
      </c>
      <c r="O6" t="s">
        <v>5</v>
      </c>
      <c r="P6" t="s">
        <v>73</v>
      </c>
      <c r="Q6" t="s">
        <v>74</v>
      </c>
      <c r="R6" t="s">
        <v>6</v>
      </c>
      <c r="S6" t="s">
        <v>47</v>
      </c>
      <c r="T6" t="s">
        <v>38</v>
      </c>
      <c r="U6" t="s">
        <v>38</v>
      </c>
    </row>
    <row r="7" spans="1:21" x14ac:dyDescent="0.25">
      <c r="A7" t="s">
        <v>64</v>
      </c>
      <c r="B7" t="s">
        <v>65</v>
      </c>
      <c r="C7" t="s">
        <v>75</v>
      </c>
      <c r="D7" t="s">
        <v>76</v>
      </c>
      <c r="E7" t="s">
        <v>77</v>
      </c>
      <c r="F7" t="s">
        <v>56</v>
      </c>
      <c r="G7" t="s">
        <v>57</v>
      </c>
      <c r="H7" t="s">
        <v>38</v>
      </c>
      <c r="I7" t="s">
        <v>39</v>
      </c>
      <c r="J7" t="s">
        <v>71</v>
      </c>
      <c r="K7" t="s">
        <v>41</v>
      </c>
      <c r="L7" t="s">
        <v>42</v>
      </c>
      <c r="M7" t="s">
        <v>72</v>
      </c>
      <c r="N7" t="s">
        <v>44</v>
      </c>
      <c r="O7" t="s">
        <v>5</v>
      </c>
      <c r="P7" t="s">
        <v>73</v>
      </c>
      <c r="Q7" t="s">
        <v>74</v>
      </c>
      <c r="R7" t="s">
        <v>6</v>
      </c>
      <c r="S7" t="s">
        <v>47</v>
      </c>
      <c r="T7" t="s">
        <v>38</v>
      </c>
      <c r="U7" t="s">
        <v>38</v>
      </c>
    </row>
    <row r="8" spans="1:21" x14ac:dyDescent="0.25">
      <c r="A8" t="s">
        <v>64</v>
      </c>
      <c r="B8" t="s">
        <v>65</v>
      </c>
      <c r="C8" t="s">
        <v>78</v>
      </c>
      <c r="D8" t="s">
        <v>79</v>
      </c>
      <c r="E8" t="s">
        <v>80</v>
      </c>
      <c r="F8" t="s">
        <v>61</v>
      </c>
      <c r="G8" t="s">
        <v>62</v>
      </c>
      <c r="H8" t="s">
        <v>38</v>
      </c>
      <c r="I8" t="s">
        <v>39</v>
      </c>
      <c r="J8" t="s">
        <v>71</v>
      </c>
      <c r="K8" t="s">
        <v>41</v>
      </c>
      <c r="L8" t="s">
        <v>42</v>
      </c>
      <c r="M8" t="s">
        <v>72</v>
      </c>
      <c r="N8" t="s">
        <v>44</v>
      </c>
      <c r="O8" t="s">
        <v>5</v>
      </c>
      <c r="P8" t="s">
        <v>73</v>
      </c>
      <c r="Q8" t="s">
        <v>74</v>
      </c>
      <c r="R8" t="s">
        <v>6</v>
      </c>
      <c r="S8" t="s">
        <v>47</v>
      </c>
      <c r="T8" t="s">
        <v>38</v>
      </c>
      <c r="U8" t="s">
        <v>38</v>
      </c>
    </row>
    <row r="9" spans="1:21" x14ac:dyDescent="0.25">
      <c r="A9" t="s">
        <v>64</v>
      </c>
      <c r="B9" t="s">
        <v>65</v>
      </c>
      <c r="C9" t="s">
        <v>81</v>
      </c>
      <c r="D9" t="s">
        <v>82</v>
      </c>
      <c r="E9" t="s">
        <v>83</v>
      </c>
      <c r="F9" t="s">
        <v>51</v>
      </c>
      <c r="G9" t="s">
        <v>52</v>
      </c>
      <c r="H9" t="s">
        <v>38</v>
      </c>
      <c r="I9" t="s">
        <v>39</v>
      </c>
      <c r="J9" t="s">
        <v>71</v>
      </c>
      <c r="K9" t="s">
        <v>41</v>
      </c>
      <c r="L9" t="s">
        <v>42</v>
      </c>
      <c r="M9" t="s">
        <v>72</v>
      </c>
      <c r="N9" t="s">
        <v>44</v>
      </c>
      <c r="O9" t="s">
        <v>5</v>
      </c>
      <c r="P9" t="s">
        <v>73</v>
      </c>
      <c r="Q9" t="s">
        <v>74</v>
      </c>
      <c r="R9" t="s">
        <v>6</v>
      </c>
      <c r="S9" t="s">
        <v>47</v>
      </c>
      <c r="T9" t="s">
        <v>38</v>
      </c>
      <c r="U9" t="s">
        <v>38</v>
      </c>
    </row>
    <row r="10" spans="1:21" x14ac:dyDescent="0.25">
      <c r="A10" t="s">
        <v>64</v>
      </c>
      <c r="B10" t="s">
        <v>65</v>
      </c>
      <c r="C10" t="s">
        <v>84</v>
      </c>
      <c r="D10" t="s">
        <v>85</v>
      </c>
      <c r="E10" t="s">
        <v>86</v>
      </c>
      <c r="F10" t="s">
        <v>36</v>
      </c>
      <c r="G10" t="s">
        <v>37</v>
      </c>
      <c r="H10" t="s">
        <v>38</v>
      </c>
      <c r="I10" t="s">
        <v>39</v>
      </c>
      <c r="J10" t="s">
        <v>71</v>
      </c>
      <c r="K10" t="s">
        <v>41</v>
      </c>
      <c r="L10" t="s">
        <v>42</v>
      </c>
      <c r="M10" t="s">
        <v>72</v>
      </c>
      <c r="N10" t="s">
        <v>44</v>
      </c>
      <c r="O10" t="s">
        <v>5</v>
      </c>
      <c r="P10" t="s">
        <v>73</v>
      </c>
      <c r="Q10" t="s">
        <v>74</v>
      </c>
      <c r="R10" t="s">
        <v>6</v>
      </c>
      <c r="S10" t="s">
        <v>47</v>
      </c>
      <c r="T10" t="s">
        <v>38</v>
      </c>
      <c r="U10" t="s">
        <v>38</v>
      </c>
    </row>
    <row r="11" spans="1:21" x14ac:dyDescent="0.25">
      <c r="A11" t="s">
        <v>87</v>
      </c>
      <c r="B11" t="s">
        <v>88</v>
      </c>
      <c r="C11" t="s">
        <v>89</v>
      </c>
      <c r="D11" t="s">
        <v>90</v>
      </c>
      <c r="E11" t="s">
        <v>91</v>
      </c>
      <c r="F11" t="s">
        <v>51</v>
      </c>
      <c r="G11" t="s">
        <v>52</v>
      </c>
      <c r="H11" t="s">
        <v>38</v>
      </c>
      <c r="I11" t="s">
        <v>39</v>
      </c>
      <c r="J11" t="s">
        <v>92</v>
      </c>
      <c r="K11" t="s">
        <v>41</v>
      </c>
      <c r="L11" t="s">
        <v>42</v>
      </c>
      <c r="M11" t="s">
        <v>93</v>
      </c>
      <c r="N11" t="s">
        <v>44</v>
      </c>
      <c r="O11" t="s">
        <v>5</v>
      </c>
      <c r="P11" t="s">
        <v>94</v>
      </c>
      <c r="Q11" t="s">
        <v>95</v>
      </c>
      <c r="R11" t="s">
        <v>6</v>
      </c>
      <c r="S11" t="s">
        <v>47</v>
      </c>
      <c r="T11" t="s">
        <v>38</v>
      </c>
      <c r="U11" t="s">
        <v>38</v>
      </c>
    </row>
    <row r="12" spans="1:21" x14ac:dyDescent="0.25">
      <c r="A12" t="s">
        <v>87</v>
      </c>
      <c r="B12" t="s">
        <v>88</v>
      </c>
      <c r="C12" t="s">
        <v>96</v>
      </c>
      <c r="D12" t="s">
        <v>97</v>
      </c>
      <c r="E12" t="s">
        <v>98</v>
      </c>
      <c r="F12" t="s">
        <v>36</v>
      </c>
      <c r="G12" t="s">
        <v>37</v>
      </c>
      <c r="H12" t="s">
        <v>38</v>
      </c>
      <c r="I12" t="s">
        <v>39</v>
      </c>
      <c r="J12" t="s">
        <v>92</v>
      </c>
      <c r="K12" t="s">
        <v>41</v>
      </c>
      <c r="L12" t="s">
        <v>42</v>
      </c>
      <c r="M12" t="s">
        <v>93</v>
      </c>
      <c r="N12" t="s">
        <v>44</v>
      </c>
      <c r="O12" t="s">
        <v>5</v>
      </c>
      <c r="P12" t="s">
        <v>94</v>
      </c>
      <c r="Q12" t="s">
        <v>95</v>
      </c>
      <c r="R12" t="s">
        <v>6</v>
      </c>
      <c r="S12" t="s">
        <v>47</v>
      </c>
      <c r="T12" t="s">
        <v>38</v>
      </c>
      <c r="U12" t="s">
        <v>38</v>
      </c>
    </row>
    <row r="13" spans="1:21" x14ac:dyDescent="0.25">
      <c r="A13" t="s">
        <v>87</v>
      </c>
      <c r="B13" t="s">
        <v>88</v>
      </c>
      <c r="C13" t="s">
        <v>99</v>
      </c>
      <c r="D13" t="s">
        <v>100</v>
      </c>
      <c r="E13" t="s">
        <v>101</v>
      </c>
      <c r="F13" t="s">
        <v>61</v>
      </c>
      <c r="G13" t="s">
        <v>62</v>
      </c>
      <c r="H13" t="s">
        <v>38</v>
      </c>
      <c r="I13" t="s">
        <v>39</v>
      </c>
      <c r="J13" t="s">
        <v>92</v>
      </c>
      <c r="K13" t="s">
        <v>41</v>
      </c>
      <c r="L13" t="s">
        <v>42</v>
      </c>
      <c r="M13" t="s">
        <v>93</v>
      </c>
      <c r="N13" t="s">
        <v>44</v>
      </c>
      <c r="O13" t="s">
        <v>5</v>
      </c>
      <c r="P13" t="s">
        <v>94</v>
      </c>
      <c r="Q13" t="s">
        <v>95</v>
      </c>
      <c r="R13" t="s">
        <v>6</v>
      </c>
      <c r="S13" t="s">
        <v>47</v>
      </c>
      <c r="T13" t="s">
        <v>38</v>
      </c>
      <c r="U13" t="s">
        <v>38</v>
      </c>
    </row>
    <row r="14" spans="1:21" x14ac:dyDescent="0.25">
      <c r="A14" t="s">
        <v>87</v>
      </c>
      <c r="B14" t="s">
        <v>88</v>
      </c>
      <c r="C14" t="s">
        <v>102</v>
      </c>
      <c r="D14" t="s">
        <v>103</v>
      </c>
      <c r="E14" t="s">
        <v>104</v>
      </c>
      <c r="F14" t="s">
        <v>56</v>
      </c>
      <c r="G14" t="s">
        <v>57</v>
      </c>
      <c r="H14" t="s">
        <v>38</v>
      </c>
      <c r="I14" t="s">
        <v>39</v>
      </c>
      <c r="J14" t="s">
        <v>92</v>
      </c>
      <c r="K14" t="s">
        <v>41</v>
      </c>
      <c r="L14" t="s">
        <v>42</v>
      </c>
      <c r="M14" t="s">
        <v>93</v>
      </c>
      <c r="N14" t="s">
        <v>44</v>
      </c>
      <c r="O14" t="s">
        <v>5</v>
      </c>
      <c r="P14" t="s">
        <v>94</v>
      </c>
      <c r="Q14" t="s">
        <v>95</v>
      </c>
      <c r="R14" t="s">
        <v>6</v>
      </c>
      <c r="S14" t="s">
        <v>47</v>
      </c>
      <c r="T14" t="s">
        <v>38</v>
      </c>
      <c r="U14" t="s">
        <v>38</v>
      </c>
    </row>
    <row r="15" spans="1:21" x14ac:dyDescent="0.25">
      <c r="A15" t="s">
        <v>64</v>
      </c>
      <c r="B15" t="s">
        <v>105</v>
      </c>
      <c r="C15" t="s">
        <v>106</v>
      </c>
      <c r="D15" t="s">
        <v>79</v>
      </c>
      <c r="E15" t="s">
        <v>80</v>
      </c>
      <c r="F15" t="s">
        <v>61</v>
      </c>
      <c r="G15" t="s">
        <v>62</v>
      </c>
      <c r="H15" t="s">
        <v>38</v>
      </c>
      <c r="I15" t="s">
        <v>39</v>
      </c>
      <c r="J15" t="s">
        <v>71</v>
      </c>
      <c r="K15" t="s">
        <v>41</v>
      </c>
      <c r="L15" t="s">
        <v>42</v>
      </c>
      <c r="M15" t="s">
        <v>72</v>
      </c>
      <c r="N15" t="s">
        <v>44</v>
      </c>
      <c r="O15" t="s">
        <v>5</v>
      </c>
      <c r="P15" t="s">
        <v>73</v>
      </c>
      <c r="Q15" t="s">
        <v>107</v>
      </c>
      <c r="R15" t="s">
        <v>6</v>
      </c>
      <c r="S15" t="s">
        <v>47</v>
      </c>
      <c r="T15" t="s">
        <v>38</v>
      </c>
      <c r="U15" t="s">
        <v>38</v>
      </c>
    </row>
    <row r="16" spans="1:21" x14ac:dyDescent="0.25">
      <c r="A16" t="s">
        <v>64</v>
      </c>
      <c r="B16" t="s">
        <v>105</v>
      </c>
      <c r="C16" t="s">
        <v>108</v>
      </c>
      <c r="D16" t="s">
        <v>76</v>
      </c>
      <c r="E16" t="s">
        <v>77</v>
      </c>
      <c r="F16" t="s">
        <v>56</v>
      </c>
      <c r="G16" t="s">
        <v>57</v>
      </c>
      <c r="H16" t="s">
        <v>38</v>
      </c>
      <c r="I16" t="s">
        <v>39</v>
      </c>
      <c r="J16" t="s">
        <v>71</v>
      </c>
      <c r="K16" t="s">
        <v>41</v>
      </c>
      <c r="L16" t="s">
        <v>42</v>
      </c>
      <c r="M16" t="s">
        <v>72</v>
      </c>
      <c r="N16" t="s">
        <v>44</v>
      </c>
      <c r="O16" t="s">
        <v>5</v>
      </c>
      <c r="P16" t="s">
        <v>73</v>
      </c>
      <c r="Q16" t="s">
        <v>107</v>
      </c>
      <c r="R16" t="s">
        <v>6</v>
      </c>
      <c r="S16" t="s">
        <v>47</v>
      </c>
      <c r="T16" t="s">
        <v>38</v>
      </c>
      <c r="U16" t="s">
        <v>38</v>
      </c>
    </row>
    <row r="17" spans="1:21" x14ac:dyDescent="0.25">
      <c r="A17" t="s">
        <v>64</v>
      </c>
      <c r="B17" t="s">
        <v>105</v>
      </c>
      <c r="C17" t="s">
        <v>109</v>
      </c>
      <c r="D17" t="s">
        <v>82</v>
      </c>
      <c r="E17" t="s">
        <v>83</v>
      </c>
      <c r="F17" t="s">
        <v>51</v>
      </c>
      <c r="G17" t="s">
        <v>52</v>
      </c>
      <c r="H17" t="s">
        <v>38</v>
      </c>
      <c r="I17" t="s">
        <v>39</v>
      </c>
      <c r="J17" t="s">
        <v>71</v>
      </c>
      <c r="K17" t="s">
        <v>41</v>
      </c>
      <c r="L17" t="s">
        <v>42</v>
      </c>
      <c r="M17" t="s">
        <v>72</v>
      </c>
      <c r="N17" t="s">
        <v>44</v>
      </c>
      <c r="O17" t="s">
        <v>5</v>
      </c>
      <c r="P17" t="s">
        <v>73</v>
      </c>
      <c r="Q17" t="s">
        <v>107</v>
      </c>
      <c r="R17" t="s">
        <v>6</v>
      </c>
      <c r="S17" t="s">
        <v>47</v>
      </c>
      <c r="T17" t="s">
        <v>38</v>
      </c>
      <c r="U17" t="s">
        <v>38</v>
      </c>
    </row>
    <row r="18" spans="1:21" x14ac:dyDescent="0.25">
      <c r="A18" t="s">
        <v>64</v>
      </c>
      <c r="B18" t="s">
        <v>105</v>
      </c>
      <c r="C18" t="s">
        <v>110</v>
      </c>
      <c r="D18" t="s">
        <v>85</v>
      </c>
      <c r="E18" t="s">
        <v>86</v>
      </c>
      <c r="F18" t="s">
        <v>36</v>
      </c>
      <c r="G18" t="s">
        <v>37</v>
      </c>
      <c r="H18" t="s">
        <v>38</v>
      </c>
      <c r="I18" t="s">
        <v>39</v>
      </c>
      <c r="J18" t="s">
        <v>71</v>
      </c>
      <c r="K18" t="s">
        <v>41</v>
      </c>
      <c r="L18" t="s">
        <v>42</v>
      </c>
      <c r="M18" t="s">
        <v>72</v>
      </c>
      <c r="N18" t="s">
        <v>44</v>
      </c>
      <c r="O18" t="s">
        <v>5</v>
      </c>
      <c r="P18" t="s">
        <v>73</v>
      </c>
      <c r="Q18" t="s">
        <v>107</v>
      </c>
      <c r="R18" t="s">
        <v>6</v>
      </c>
      <c r="S18" t="s">
        <v>47</v>
      </c>
      <c r="T18" t="s">
        <v>38</v>
      </c>
      <c r="U18" t="s">
        <v>38</v>
      </c>
    </row>
    <row r="19" spans="1:21" x14ac:dyDescent="0.25">
      <c r="A19" t="s">
        <v>64</v>
      </c>
      <c r="B19" t="s">
        <v>105</v>
      </c>
      <c r="C19" t="s">
        <v>111</v>
      </c>
      <c r="D19" t="s">
        <v>67</v>
      </c>
      <c r="E19" t="s">
        <v>68</v>
      </c>
      <c r="F19" t="s">
        <v>69</v>
      </c>
      <c r="G19" t="s">
        <v>70</v>
      </c>
      <c r="H19" t="s">
        <v>38</v>
      </c>
      <c r="I19" t="s">
        <v>39</v>
      </c>
      <c r="J19" t="s">
        <v>71</v>
      </c>
      <c r="K19" t="s">
        <v>41</v>
      </c>
      <c r="L19" t="s">
        <v>42</v>
      </c>
      <c r="M19" t="s">
        <v>72</v>
      </c>
      <c r="N19" t="s">
        <v>44</v>
      </c>
      <c r="O19" t="s">
        <v>5</v>
      </c>
      <c r="P19" t="s">
        <v>73</v>
      </c>
      <c r="Q19" t="s">
        <v>107</v>
      </c>
      <c r="R19" t="s">
        <v>6</v>
      </c>
      <c r="S19" t="s">
        <v>47</v>
      </c>
      <c r="T19" t="s">
        <v>38</v>
      </c>
      <c r="U19" t="s">
        <v>38</v>
      </c>
    </row>
    <row r="20" spans="1:21" x14ac:dyDescent="0.25">
      <c r="A20" t="s">
        <v>112</v>
      </c>
      <c r="B20" t="s">
        <v>113</v>
      </c>
      <c r="C20" t="s">
        <v>114</v>
      </c>
      <c r="D20" t="s">
        <v>115</v>
      </c>
      <c r="E20" t="s">
        <v>116</v>
      </c>
      <c r="F20" t="s">
        <v>51</v>
      </c>
      <c r="G20" t="s">
        <v>52</v>
      </c>
      <c r="H20" t="s">
        <v>38</v>
      </c>
      <c r="I20" t="s">
        <v>39</v>
      </c>
      <c r="J20" t="s">
        <v>40</v>
      </c>
      <c r="K20" t="s">
        <v>41</v>
      </c>
      <c r="L20" t="s">
        <v>42</v>
      </c>
      <c r="M20" t="s">
        <v>117</v>
      </c>
      <c r="N20" t="s">
        <v>44</v>
      </c>
      <c r="O20" t="s">
        <v>5</v>
      </c>
      <c r="P20" t="s">
        <v>118</v>
      </c>
      <c r="Q20" t="s">
        <v>119</v>
      </c>
      <c r="R20" t="s">
        <v>6</v>
      </c>
      <c r="S20" t="s">
        <v>47</v>
      </c>
      <c r="T20" t="s">
        <v>38</v>
      </c>
      <c r="U20" t="s">
        <v>38</v>
      </c>
    </row>
    <row r="21" spans="1:21" x14ac:dyDescent="0.25">
      <c r="A21" t="s">
        <v>112</v>
      </c>
      <c r="B21" t="s">
        <v>113</v>
      </c>
      <c r="C21" t="s">
        <v>120</v>
      </c>
      <c r="D21" t="s">
        <v>121</v>
      </c>
      <c r="E21" t="s">
        <v>122</v>
      </c>
      <c r="F21" t="s">
        <v>123</v>
      </c>
      <c r="G21" t="s">
        <v>124</v>
      </c>
      <c r="H21" t="s">
        <v>38</v>
      </c>
      <c r="I21" t="s">
        <v>39</v>
      </c>
      <c r="J21" t="s">
        <v>40</v>
      </c>
      <c r="K21" t="s">
        <v>41</v>
      </c>
      <c r="L21" t="s">
        <v>42</v>
      </c>
      <c r="M21" t="s">
        <v>117</v>
      </c>
      <c r="N21" t="s">
        <v>44</v>
      </c>
      <c r="O21" t="s">
        <v>5</v>
      </c>
      <c r="P21" t="s">
        <v>118</v>
      </c>
      <c r="Q21" t="s">
        <v>119</v>
      </c>
      <c r="R21" t="s">
        <v>6</v>
      </c>
      <c r="S21" t="s">
        <v>47</v>
      </c>
      <c r="T21" t="s">
        <v>38</v>
      </c>
      <c r="U21" t="s">
        <v>38</v>
      </c>
    </row>
    <row r="22" spans="1:21" x14ac:dyDescent="0.25">
      <c r="A22" t="s">
        <v>112</v>
      </c>
      <c r="B22" t="s">
        <v>113</v>
      </c>
      <c r="C22" t="s">
        <v>125</v>
      </c>
      <c r="D22" t="s">
        <v>126</v>
      </c>
      <c r="E22" t="s">
        <v>127</v>
      </c>
      <c r="F22" t="s">
        <v>36</v>
      </c>
      <c r="G22" t="s">
        <v>37</v>
      </c>
      <c r="H22" t="s">
        <v>38</v>
      </c>
      <c r="I22" t="s">
        <v>39</v>
      </c>
      <c r="J22" t="s">
        <v>40</v>
      </c>
      <c r="K22" t="s">
        <v>41</v>
      </c>
      <c r="L22" t="s">
        <v>42</v>
      </c>
      <c r="M22" t="s">
        <v>117</v>
      </c>
      <c r="N22" t="s">
        <v>44</v>
      </c>
      <c r="O22" t="s">
        <v>5</v>
      </c>
      <c r="P22" t="s">
        <v>118</v>
      </c>
      <c r="Q22" t="s">
        <v>119</v>
      </c>
      <c r="R22" t="s">
        <v>6</v>
      </c>
      <c r="S22" t="s">
        <v>47</v>
      </c>
      <c r="T22" t="s">
        <v>38</v>
      </c>
      <c r="U22" t="s">
        <v>38</v>
      </c>
    </row>
    <row r="23" spans="1:21" x14ac:dyDescent="0.25">
      <c r="A23" t="s">
        <v>112</v>
      </c>
      <c r="B23" t="s">
        <v>113</v>
      </c>
      <c r="C23" t="s">
        <v>128</v>
      </c>
      <c r="D23" t="s">
        <v>129</v>
      </c>
      <c r="E23" t="s">
        <v>130</v>
      </c>
      <c r="F23" t="s">
        <v>56</v>
      </c>
      <c r="G23" t="s">
        <v>57</v>
      </c>
      <c r="H23" t="s">
        <v>38</v>
      </c>
      <c r="I23" t="s">
        <v>39</v>
      </c>
      <c r="J23" t="s">
        <v>40</v>
      </c>
      <c r="K23" t="s">
        <v>41</v>
      </c>
      <c r="L23" t="s">
        <v>42</v>
      </c>
      <c r="M23" t="s">
        <v>117</v>
      </c>
      <c r="N23" t="s">
        <v>44</v>
      </c>
      <c r="O23" t="s">
        <v>5</v>
      </c>
      <c r="P23" t="s">
        <v>118</v>
      </c>
      <c r="Q23" t="s">
        <v>119</v>
      </c>
      <c r="R23" t="s">
        <v>6</v>
      </c>
      <c r="S23" t="s">
        <v>47</v>
      </c>
      <c r="T23" t="s">
        <v>38</v>
      </c>
      <c r="U23" t="s">
        <v>38</v>
      </c>
    </row>
    <row r="24" spans="1:21" x14ac:dyDescent="0.25">
      <c r="A24" t="s">
        <v>31</v>
      </c>
      <c r="B24" t="s">
        <v>131</v>
      </c>
      <c r="C24" t="s">
        <v>132</v>
      </c>
      <c r="D24" t="s">
        <v>54</v>
      </c>
      <c r="E24" t="s">
        <v>55</v>
      </c>
      <c r="F24" t="s">
        <v>56</v>
      </c>
      <c r="G24" t="s">
        <v>57</v>
      </c>
      <c r="H24" t="s">
        <v>38</v>
      </c>
      <c r="I24" t="s">
        <v>39</v>
      </c>
      <c r="J24" t="s">
        <v>40</v>
      </c>
      <c r="K24" t="s">
        <v>41</v>
      </c>
      <c r="L24" t="s">
        <v>42</v>
      </c>
      <c r="M24" t="s">
        <v>43</v>
      </c>
      <c r="N24" t="s">
        <v>44</v>
      </c>
      <c r="O24" t="s">
        <v>5</v>
      </c>
      <c r="P24" t="s">
        <v>45</v>
      </c>
      <c r="Q24" t="s">
        <v>46</v>
      </c>
      <c r="R24" t="s">
        <v>6</v>
      </c>
      <c r="S24" t="s">
        <v>47</v>
      </c>
      <c r="T24" t="s">
        <v>38</v>
      </c>
      <c r="U24" t="s">
        <v>38</v>
      </c>
    </row>
    <row r="25" spans="1:21" x14ac:dyDescent="0.25">
      <c r="A25" t="s">
        <v>31</v>
      </c>
      <c r="B25" t="s">
        <v>131</v>
      </c>
      <c r="C25" t="s">
        <v>133</v>
      </c>
      <c r="D25" t="s">
        <v>49</v>
      </c>
      <c r="E25" t="s">
        <v>50</v>
      </c>
      <c r="F25" t="s">
        <v>51</v>
      </c>
      <c r="G25" t="s">
        <v>52</v>
      </c>
      <c r="H25" t="s">
        <v>38</v>
      </c>
      <c r="I25" t="s">
        <v>39</v>
      </c>
      <c r="J25" t="s">
        <v>40</v>
      </c>
      <c r="K25" t="s">
        <v>41</v>
      </c>
      <c r="L25" t="s">
        <v>42</v>
      </c>
      <c r="M25" t="s">
        <v>43</v>
      </c>
      <c r="N25" t="s">
        <v>44</v>
      </c>
      <c r="O25" t="s">
        <v>5</v>
      </c>
      <c r="P25" t="s">
        <v>45</v>
      </c>
      <c r="Q25" t="s">
        <v>46</v>
      </c>
      <c r="R25" t="s">
        <v>6</v>
      </c>
      <c r="S25" t="s">
        <v>47</v>
      </c>
      <c r="T25" t="s">
        <v>38</v>
      </c>
      <c r="U25" t="s">
        <v>38</v>
      </c>
    </row>
    <row r="26" spans="1:21" x14ac:dyDescent="0.25">
      <c r="A26" t="s">
        <v>31</v>
      </c>
      <c r="B26" t="s">
        <v>131</v>
      </c>
      <c r="C26" t="s">
        <v>134</v>
      </c>
      <c r="D26" t="s">
        <v>59</v>
      </c>
      <c r="E26" t="s">
        <v>60</v>
      </c>
      <c r="F26" t="s">
        <v>61</v>
      </c>
      <c r="G26" t="s">
        <v>62</v>
      </c>
      <c r="H26" t="s">
        <v>38</v>
      </c>
      <c r="I26" t="s">
        <v>39</v>
      </c>
      <c r="J26" t="s">
        <v>40</v>
      </c>
      <c r="K26" t="s">
        <v>63</v>
      </c>
      <c r="L26" t="s">
        <v>42</v>
      </c>
      <c r="M26" t="s">
        <v>43</v>
      </c>
      <c r="N26" t="s">
        <v>44</v>
      </c>
      <c r="O26" t="s">
        <v>5</v>
      </c>
      <c r="P26" t="s">
        <v>45</v>
      </c>
      <c r="Q26" t="s">
        <v>46</v>
      </c>
      <c r="R26" t="s">
        <v>6</v>
      </c>
      <c r="S26" t="s">
        <v>47</v>
      </c>
      <c r="T26" t="s">
        <v>38</v>
      </c>
      <c r="U26" t="s">
        <v>38</v>
      </c>
    </row>
    <row r="27" spans="1:21" x14ac:dyDescent="0.25">
      <c r="A27" t="s">
        <v>31</v>
      </c>
      <c r="B27" t="s">
        <v>131</v>
      </c>
      <c r="C27" t="s">
        <v>135</v>
      </c>
      <c r="D27" t="s">
        <v>34</v>
      </c>
      <c r="E27" t="s">
        <v>35</v>
      </c>
      <c r="F27" t="s">
        <v>36</v>
      </c>
      <c r="G27" t="s">
        <v>37</v>
      </c>
      <c r="H27" t="s">
        <v>38</v>
      </c>
      <c r="I27" t="s">
        <v>39</v>
      </c>
      <c r="J27" t="s">
        <v>40</v>
      </c>
      <c r="K27" t="s">
        <v>41</v>
      </c>
      <c r="L27" t="s">
        <v>42</v>
      </c>
      <c r="M27" t="s">
        <v>43</v>
      </c>
      <c r="N27" t="s">
        <v>44</v>
      </c>
      <c r="O27" t="s">
        <v>5</v>
      </c>
      <c r="P27" t="s">
        <v>45</v>
      </c>
      <c r="Q27" t="s">
        <v>46</v>
      </c>
      <c r="R27" t="s">
        <v>6</v>
      </c>
      <c r="S27" t="s">
        <v>47</v>
      </c>
      <c r="T27" t="s">
        <v>38</v>
      </c>
      <c r="U27" t="s">
        <v>38</v>
      </c>
    </row>
    <row r="28" spans="1:21" x14ac:dyDescent="0.25">
      <c r="A28" t="s">
        <v>136</v>
      </c>
      <c r="B28" t="s">
        <v>137</v>
      </c>
      <c r="C28" t="s">
        <v>138</v>
      </c>
      <c r="D28" t="s">
        <v>59</v>
      </c>
      <c r="E28" t="s">
        <v>60</v>
      </c>
      <c r="F28" t="s">
        <v>61</v>
      </c>
      <c r="G28" t="s">
        <v>62</v>
      </c>
      <c r="H28" t="s">
        <v>38</v>
      </c>
      <c r="I28" t="s">
        <v>39</v>
      </c>
      <c r="J28" t="s">
        <v>40</v>
      </c>
      <c r="K28" t="s">
        <v>63</v>
      </c>
      <c r="L28" t="s">
        <v>42</v>
      </c>
      <c r="M28" t="s">
        <v>43</v>
      </c>
      <c r="N28" t="s">
        <v>44</v>
      </c>
      <c r="O28" t="s">
        <v>5</v>
      </c>
      <c r="P28" t="s">
        <v>45</v>
      </c>
      <c r="Q28" t="s">
        <v>139</v>
      </c>
      <c r="R28" t="s">
        <v>6</v>
      </c>
      <c r="S28" t="s">
        <v>47</v>
      </c>
      <c r="T28" t="s">
        <v>38</v>
      </c>
      <c r="U28" t="s">
        <v>38</v>
      </c>
    </row>
    <row r="29" spans="1:21" x14ac:dyDescent="0.25">
      <c r="A29" t="s">
        <v>136</v>
      </c>
      <c r="B29" t="s">
        <v>137</v>
      </c>
      <c r="C29" t="s">
        <v>140</v>
      </c>
      <c r="D29" t="s">
        <v>54</v>
      </c>
      <c r="E29" t="s">
        <v>55</v>
      </c>
      <c r="F29" t="s">
        <v>56</v>
      </c>
      <c r="G29" t="s">
        <v>57</v>
      </c>
      <c r="H29" t="s">
        <v>38</v>
      </c>
      <c r="I29" t="s">
        <v>39</v>
      </c>
      <c r="J29" t="s">
        <v>40</v>
      </c>
      <c r="K29" t="s">
        <v>41</v>
      </c>
      <c r="L29" t="s">
        <v>42</v>
      </c>
      <c r="M29" t="s">
        <v>43</v>
      </c>
      <c r="N29" t="s">
        <v>44</v>
      </c>
      <c r="O29" t="s">
        <v>5</v>
      </c>
      <c r="P29" t="s">
        <v>45</v>
      </c>
      <c r="Q29" t="s">
        <v>139</v>
      </c>
      <c r="R29" t="s">
        <v>6</v>
      </c>
      <c r="S29" t="s">
        <v>47</v>
      </c>
      <c r="T29" t="s">
        <v>38</v>
      </c>
      <c r="U29" t="s">
        <v>38</v>
      </c>
    </row>
    <row r="30" spans="1:21" x14ac:dyDescent="0.25">
      <c r="A30" t="s">
        <v>136</v>
      </c>
      <c r="B30" t="s">
        <v>137</v>
      </c>
      <c r="C30" t="s">
        <v>141</v>
      </c>
      <c r="D30" t="s">
        <v>49</v>
      </c>
      <c r="E30" t="s">
        <v>50</v>
      </c>
      <c r="F30" t="s">
        <v>51</v>
      </c>
      <c r="G30" t="s">
        <v>52</v>
      </c>
      <c r="H30" t="s">
        <v>38</v>
      </c>
      <c r="I30" t="s">
        <v>39</v>
      </c>
      <c r="J30" t="s">
        <v>40</v>
      </c>
      <c r="K30" t="s">
        <v>41</v>
      </c>
      <c r="L30" t="s">
        <v>42</v>
      </c>
      <c r="M30" t="s">
        <v>43</v>
      </c>
      <c r="N30" t="s">
        <v>44</v>
      </c>
      <c r="O30" t="s">
        <v>5</v>
      </c>
      <c r="P30" t="s">
        <v>45</v>
      </c>
      <c r="Q30" t="s">
        <v>139</v>
      </c>
      <c r="R30" t="s">
        <v>6</v>
      </c>
      <c r="S30" t="s">
        <v>47</v>
      </c>
      <c r="T30" t="s">
        <v>38</v>
      </c>
      <c r="U30" t="s">
        <v>38</v>
      </c>
    </row>
    <row r="31" spans="1:21" x14ac:dyDescent="0.25">
      <c r="A31" t="s">
        <v>136</v>
      </c>
      <c r="B31" t="s">
        <v>137</v>
      </c>
      <c r="C31" t="s">
        <v>142</v>
      </c>
      <c r="D31" t="s">
        <v>143</v>
      </c>
      <c r="E31" t="s">
        <v>144</v>
      </c>
      <c r="F31" t="s">
        <v>36</v>
      </c>
      <c r="G31" t="s">
        <v>37</v>
      </c>
      <c r="H31" t="s">
        <v>38</v>
      </c>
      <c r="I31" t="s">
        <v>39</v>
      </c>
      <c r="J31" t="s">
        <v>40</v>
      </c>
      <c r="K31" t="s">
        <v>41</v>
      </c>
      <c r="L31" t="s">
        <v>42</v>
      </c>
      <c r="M31" t="s">
        <v>43</v>
      </c>
      <c r="N31" t="s">
        <v>44</v>
      </c>
      <c r="O31" t="s">
        <v>5</v>
      </c>
      <c r="P31" t="s">
        <v>45</v>
      </c>
      <c r="Q31" t="s">
        <v>139</v>
      </c>
      <c r="R31" t="s">
        <v>6</v>
      </c>
      <c r="S31" t="s">
        <v>47</v>
      </c>
      <c r="T31" t="s">
        <v>38</v>
      </c>
      <c r="U31" t="s">
        <v>38</v>
      </c>
    </row>
  </sheetData>
  <autoFilter ref="A1:U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8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0" customWidth="1"/>
    <col min="3" max="3" width="20" customWidth="1"/>
    <col min="4" max="4" width="16" customWidth="1"/>
    <col min="5" max="5" width="22" customWidth="1"/>
    <col min="6" max="6" width="44" customWidth="1"/>
    <col min="7" max="7" width="22" customWidth="1"/>
    <col min="8" max="8" width="17" style="8" customWidth="1"/>
    <col min="9" max="9" width="17" customWidth="1"/>
    <col min="10" max="10" width="15" style="8" customWidth="1"/>
    <col min="11" max="11" width="9.14" customWidth="1"/>
    <col min="12" max="12" width="20" style="9" customWidth="1"/>
    <col min="13" max="13" width="22" style="9" customWidth="1"/>
    <col min="14" max="14" width="24" style="9" customWidth="1"/>
    <col min="15" max="15" width="22" style="9" customWidth="1"/>
    <col min="16" max="16" width="9" style="9" customWidth="1"/>
    <col min="27" max="27" width="9" hidden="1" customWidth="1"/>
  </cols>
  <sheetData>
    <row r="1" ht="32" customHeight="1" spans="8:16" x14ac:dyDescent="0.25">
      <c r="H1" s="8"/>
      <c r="I1" s="10" t="s">
        <v>145</v>
      </c>
      <c r="J1" s="11">
        <f>SUM(J3:J28)</f>
        <v>0</v>
      </c>
      <c r="K1" s="10" t="s">
        <v>146</v>
      </c>
      <c r="L1" s="9"/>
      <c r="M1" s="9"/>
      <c r="N1" s="9"/>
      <c r="O1" s="12">
        <f>SUM(O3:O28)</f>
        <v>0</v>
      </c>
      <c r="P1" s="9"/>
    </row>
    <row r="2" spans="1:27" s="13" customFormat="1" x14ac:dyDescent="0.25">
      <c r="A2" s="14" t="s">
        <v>10</v>
      </c>
      <c r="B2" s="14" t="s">
        <v>0</v>
      </c>
      <c r="C2" s="14" t="s">
        <v>1</v>
      </c>
      <c r="D2" s="14" t="s">
        <v>147</v>
      </c>
      <c r="E2" s="14" t="s">
        <v>148</v>
      </c>
      <c r="F2" s="14" t="s">
        <v>149</v>
      </c>
      <c r="G2" s="14" t="s">
        <v>150</v>
      </c>
      <c r="H2" s="15" t="s">
        <v>151</v>
      </c>
      <c r="I2" s="14" t="s">
        <v>152</v>
      </c>
      <c r="J2" s="15" t="s">
        <v>3</v>
      </c>
      <c r="L2" s="16" t="s">
        <v>153</v>
      </c>
      <c r="M2" s="16" t="s">
        <v>154</v>
      </c>
      <c r="N2" s="16" t="s">
        <v>155</v>
      </c>
      <c r="O2" s="16" t="s">
        <v>156</v>
      </c>
      <c r="P2" s="16"/>
      <c r="AA2" s="13" t="s">
        <v>157</v>
      </c>
    </row>
    <row r="3" ht="18" customHeight="1" spans="1:27" x14ac:dyDescent="0.25">
      <c r="A3" s="17" t="s">
        <v>87</v>
      </c>
      <c r="B3" s="17" t="s">
        <v>4</v>
      </c>
      <c r="C3" s="17" t="s">
        <v>5</v>
      </c>
      <c r="D3" s="17" t="s">
        <v>6</v>
      </c>
      <c r="E3" s="17" t="s">
        <v>93</v>
      </c>
      <c r="F3" s="17" t="s">
        <v>38</v>
      </c>
      <c r="G3" s="17" t="s">
        <v>38</v>
      </c>
      <c r="H3" s="18"/>
      <c r="I3" s="19" t="s">
        <v>47</v>
      </c>
      <c r="J3" s="18">
        <v>1</v>
      </c>
      <c r="L3" s="20">
        <v>0</v>
      </c>
      <c r="M3" s="20">
        <v>0</v>
      </c>
      <c r="N3" s="20">
        <v>0</v>
      </c>
      <c r="O3" s="9">
        <f>(L3-(M3+N3))*J3</f>
        <v>0</v>
      </c>
      <c r="AA3" t="s">
        <v>158</v>
      </c>
    </row>
    <row r="4" spans="1:10" x14ac:dyDescent="0.25">
      <c r="A4" s="21" t="s">
        <v>87</v>
      </c>
      <c r="B4" s="21" t="s">
        <v>4</v>
      </c>
      <c r="C4" s="21" t="s">
        <v>5</v>
      </c>
      <c r="D4" s="21" t="s">
        <v>6</v>
      </c>
      <c r="E4" s="21" t="s">
        <v>93</v>
      </c>
      <c r="F4" t="s">
        <v>91</v>
      </c>
      <c r="G4" t="s">
        <v>52</v>
      </c>
      <c r="H4" s="8">
        <v>1</v>
      </c>
      <c r="I4" s="21" t="s">
        <v>47</v>
      </c>
      <c r="J4" s="8"/>
    </row>
    <row r="5" spans="1:10" x14ac:dyDescent="0.25">
      <c r="A5" s="21" t="s">
        <v>87</v>
      </c>
      <c r="B5" s="21" t="s">
        <v>4</v>
      </c>
      <c r="C5" s="21" t="s">
        <v>5</v>
      </c>
      <c r="D5" s="21" t="s">
        <v>6</v>
      </c>
      <c r="E5" s="21" t="s">
        <v>93</v>
      </c>
      <c r="F5" t="s">
        <v>101</v>
      </c>
      <c r="G5" t="s">
        <v>62</v>
      </c>
      <c r="H5" s="8">
        <v>1</v>
      </c>
      <c r="I5" s="21" t="s">
        <v>47</v>
      </c>
      <c r="J5" s="8"/>
    </row>
    <row r="6" spans="1:10" x14ac:dyDescent="0.25">
      <c r="A6" s="21" t="s">
        <v>87</v>
      </c>
      <c r="B6" s="21" t="s">
        <v>4</v>
      </c>
      <c r="C6" s="21" t="s">
        <v>5</v>
      </c>
      <c r="D6" s="21" t="s">
        <v>6</v>
      </c>
      <c r="E6" s="21" t="s">
        <v>93</v>
      </c>
      <c r="F6" t="s">
        <v>104</v>
      </c>
      <c r="G6" t="s">
        <v>57</v>
      </c>
      <c r="H6" s="8">
        <v>1</v>
      </c>
      <c r="I6" s="21" t="s">
        <v>47</v>
      </c>
      <c r="J6" s="8"/>
    </row>
    <row r="7" spans="1:10" x14ac:dyDescent="0.25">
      <c r="A7" s="21" t="s">
        <v>87</v>
      </c>
      <c r="B7" s="21" t="s">
        <v>4</v>
      </c>
      <c r="C7" s="21" t="s">
        <v>5</v>
      </c>
      <c r="D7" s="21" t="s">
        <v>6</v>
      </c>
      <c r="E7" s="21" t="s">
        <v>93</v>
      </c>
      <c r="F7" t="s">
        <v>98</v>
      </c>
      <c r="G7" t="s">
        <v>37</v>
      </c>
      <c r="H7" s="8">
        <v>1</v>
      </c>
      <c r="I7" s="21" t="s">
        <v>47</v>
      </c>
      <c r="J7" s="8"/>
    </row>
    <row r="8" ht="18" customHeight="1" spans="1:27" x14ac:dyDescent="0.25">
      <c r="A8" s="17" t="s">
        <v>64</v>
      </c>
      <c r="B8" s="17" t="s">
        <v>4</v>
      </c>
      <c r="C8" s="17" t="s">
        <v>5</v>
      </c>
      <c r="D8" s="17" t="s">
        <v>6</v>
      </c>
      <c r="E8" s="17" t="s">
        <v>72</v>
      </c>
      <c r="F8" s="17" t="s">
        <v>38</v>
      </c>
      <c r="G8" s="17" t="s">
        <v>38</v>
      </c>
      <c r="H8" s="18"/>
      <c r="I8" s="19" t="s">
        <v>47</v>
      </c>
      <c r="J8" s="18">
        <v>2</v>
      </c>
      <c r="L8" s="20">
        <v>0</v>
      </c>
      <c r="M8" s="20">
        <v>0</v>
      </c>
      <c r="N8" s="20">
        <v>0</v>
      </c>
      <c r="O8" s="9">
        <f>(L8-(M8+N8))*J8</f>
        <v>0</v>
      </c>
      <c r="AA8" t="s">
        <v>159</v>
      </c>
    </row>
    <row r="9" spans="1:10" x14ac:dyDescent="0.25">
      <c r="A9" s="21" t="s">
        <v>64</v>
      </c>
      <c r="B9" s="21" t="s">
        <v>4</v>
      </c>
      <c r="C9" s="21" t="s">
        <v>5</v>
      </c>
      <c r="D9" s="21" t="s">
        <v>6</v>
      </c>
      <c r="E9" s="21" t="s">
        <v>72</v>
      </c>
      <c r="F9" t="s">
        <v>83</v>
      </c>
      <c r="G9" t="s">
        <v>52</v>
      </c>
      <c r="H9" s="8">
        <v>1</v>
      </c>
      <c r="I9" s="21" t="s">
        <v>47</v>
      </c>
      <c r="J9" s="8"/>
    </row>
    <row r="10" spans="1:10" x14ac:dyDescent="0.25">
      <c r="A10" s="21" t="s">
        <v>64</v>
      </c>
      <c r="B10" s="21" t="s">
        <v>4</v>
      </c>
      <c r="C10" s="21" t="s">
        <v>5</v>
      </c>
      <c r="D10" s="21" t="s">
        <v>6</v>
      </c>
      <c r="E10" s="21" t="s">
        <v>72</v>
      </c>
      <c r="F10" t="s">
        <v>80</v>
      </c>
      <c r="G10" t="s">
        <v>62</v>
      </c>
      <c r="H10" s="8">
        <v>1</v>
      </c>
      <c r="I10" s="21" t="s">
        <v>47</v>
      </c>
      <c r="J10" s="8"/>
    </row>
    <row r="11" spans="1:10" x14ac:dyDescent="0.25">
      <c r="A11" s="21" t="s">
        <v>64</v>
      </c>
      <c r="B11" s="21" t="s">
        <v>4</v>
      </c>
      <c r="C11" s="21" t="s">
        <v>5</v>
      </c>
      <c r="D11" s="21" t="s">
        <v>6</v>
      </c>
      <c r="E11" s="21" t="s">
        <v>72</v>
      </c>
      <c r="F11" t="s">
        <v>77</v>
      </c>
      <c r="G11" t="s">
        <v>57</v>
      </c>
      <c r="H11" s="8">
        <v>1</v>
      </c>
      <c r="I11" s="21" t="s">
        <v>47</v>
      </c>
      <c r="J11" s="8"/>
    </row>
    <row r="12" spans="1:10" x14ac:dyDescent="0.25">
      <c r="A12" s="21" t="s">
        <v>64</v>
      </c>
      <c r="B12" s="21" t="s">
        <v>4</v>
      </c>
      <c r="C12" s="21" t="s">
        <v>5</v>
      </c>
      <c r="D12" s="21" t="s">
        <v>6</v>
      </c>
      <c r="E12" s="21" t="s">
        <v>72</v>
      </c>
      <c r="F12" t="s">
        <v>68</v>
      </c>
      <c r="G12" t="s">
        <v>70</v>
      </c>
      <c r="H12" s="8">
        <v>1</v>
      </c>
      <c r="I12" s="21" t="s">
        <v>47</v>
      </c>
      <c r="J12" s="8"/>
    </row>
    <row r="13" spans="1:10" x14ac:dyDescent="0.25">
      <c r="A13" s="21" t="s">
        <v>64</v>
      </c>
      <c r="B13" s="21" t="s">
        <v>4</v>
      </c>
      <c r="C13" s="21" t="s">
        <v>5</v>
      </c>
      <c r="D13" s="21" t="s">
        <v>6</v>
      </c>
      <c r="E13" s="21" t="s">
        <v>72</v>
      </c>
      <c r="F13" t="s">
        <v>86</v>
      </c>
      <c r="G13" t="s">
        <v>37</v>
      </c>
      <c r="H13" s="8">
        <v>1</v>
      </c>
      <c r="I13" s="21" t="s">
        <v>47</v>
      </c>
      <c r="J13" s="8"/>
    </row>
    <row r="14" ht="18" customHeight="1" spans="1:27" x14ac:dyDescent="0.25">
      <c r="A14" s="17" t="s">
        <v>31</v>
      </c>
      <c r="B14" s="17" t="s">
        <v>4</v>
      </c>
      <c r="C14" s="17" t="s">
        <v>5</v>
      </c>
      <c r="D14" s="17" t="s">
        <v>6</v>
      </c>
      <c r="E14" s="17" t="s">
        <v>43</v>
      </c>
      <c r="F14" s="17" t="s">
        <v>38</v>
      </c>
      <c r="G14" s="17" t="s">
        <v>38</v>
      </c>
      <c r="H14" s="18"/>
      <c r="I14" s="19" t="s">
        <v>47</v>
      </c>
      <c r="J14" s="18">
        <v>2</v>
      </c>
      <c r="L14" s="20">
        <v>0</v>
      </c>
      <c r="M14" s="20">
        <v>0</v>
      </c>
      <c r="N14" s="20">
        <v>0</v>
      </c>
      <c r="O14" s="9">
        <f>(L14-(M14+N14))*J14</f>
        <v>0</v>
      </c>
      <c r="AA14" t="s">
        <v>160</v>
      </c>
    </row>
    <row r="15" spans="1:10" x14ac:dyDescent="0.25">
      <c r="A15" s="21" t="s">
        <v>31</v>
      </c>
      <c r="B15" s="21" t="s">
        <v>4</v>
      </c>
      <c r="C15" s="21" t="s">
        <v>5</v>
      </c>
      <c r="D15" s="21" t="s">
        <v>6</v>
      </c>
      <c r="E15" s="21" t="s">
        <v>43</v>
      </c>
      <c r="F15" t="s">
        <v>50</v>
      </c>
      <c r="G15" t="s">
        <v>52</v>
      </c>
      <c r="H15" s="8">
        <v>1</v>
      </c>
      <c r="I15" s="21" t="s">
        <v>47</v>
      </c>
      <c r="J15" s="8"/>
    </row>
    <row r="16" spans="1:10" x14ac:dyDescent="0.25">
      <c r="A16" s="21" t="s">
        <v>31</v>
      </c>
      <c r="B16" s="21" t="s">
        <v>4</v>
      </c>
      <c r="C16" s="21" t="s">
        <v>5</v>
      </c>
      <c r="D16" s="21" t="s">
        <v>6</v>
      </c>
      <c r="E16" s="21" t="s">
        <v>43</v>
      </c>
      <c r="F16" t="s">
        <v>60</v>
      </c>
      <c r="G16" t="s">
        <v>62</v>
      </c>
      <c r="H16" s="8">
        <v>2</v>
      </c>
      <c r="I16" s="21" t="s">
        <v>47</v>
      </c>
      <c r="J16" s="8"/>
    </row>
    <row r="17" spans="1:10" x14ac:dyDescent="0.25">
      <c r="A17" s="21" t="s">
        <v>31</v>
      </c>
      <c r="B17" s="21" t="s">
        <v>4</v>
      </c>
      <c r="C17" s="21" t="s">
        <v>5</v>
      </c>
      <c r="D17" s="21" t="s">
        <v>6</v>
      </c>
      <c r="E17" s="21" t="s">
        <v>43</v>
      </c>
      <c r="F17" t="s">
        <v>55</v>
      </c>
      <c r="G17" t="s">
        <v>57</v>
      </c>
      <c r="H17" s="8">
        <v>1</v>
      </c>
      <c r="I17" s="21" t="s">
        <v>47</v>
      </c>
      <c r="J17" s="8"/>
    </row>
    <row r="18" spans="1:10" x14ac:dyDescent="0.25">
      <c r="A18" s="21" t="s">
        <v>31</v>
      </c>
      <c r="B18" s="21" t="s">
        <v>4</v>
      </c>
      <c r="C18" s="21" t="s">
        <v>5</v>
      </c>
      <c r="D18" s="21" t="s">
        <v>6</v>
      </c>
      <c r="E18" s="21" t="s">
        <v>43</v>
      </c>
      <c r="F18" t="s">
        <v>35</v>
      </c>
      <c r="G18" t="s">
        <v>37</v>
      </c>
      <c r="H18" s="8">
        <v>1</v>
      </c>
      <c r="I18" s="21" t="s">
        <v>47</v>
      </c>
      <c r="J18" s="8"/>
    </row>
    <row r="19" ht="18" customHeight="1" spans="1:27" x14ac:dyDescent="0.25">
      <c r="A19" s="17" t="s">
        <v>136</v>
      </c>
      <c r="B19" s="17" t="s">
        <v>4</v>
      </c>
      <c r="C19" s="17" t="s">
        <v>5</v>
      </c>
      <c r="D19" s="17" t="s">
        <v>6</v>
      </c>
      <c r="E19" s="17" t="s">
        <v>43</v>
      </c>
      <c r="F19" s="17" t="s">
        <v>38</v>
      </c>
      <c r="G19" s="17" t="s">
        <v>38</v>
      </c>
      <c r="H19" s="18"/>
      <c r="I19" s="19" t="s">
        <v>47</v>
      </c>
      <c r="J19" s="18">
        <v>1</v>
      </c>
      <c r="L19" s="20">
        <v>0</v>
      </c>
      <c r="M19" s="20">
        <v>0</v>
      </c>
      <c r="N19" s="20">
        <v>0</v>
      </c>
      <c r="O19" s="9">
        <f>(L19-(M19+N19))*J19</f>
        <v>0</v>
      </c>
      <c r="AA19" t="s">
        <v>161</v>
      </c>
    </row>
    <row r="20" spans="1:10" x14ac:dyDescent="0.25">
      <c r="A20" s="21" t="s">
        <v>136</v>
      </c>
      <c r="B20" s="21" t="s">
        <v>4</v>
      </c>
      <c r="C20" s="21" t="s">
        <v>5</v>
      </c>
      <c r="D20" s="21" t="s">
        <v>6</v>
      </c>
      <c r="E20" s="21" t="s">
        <v>43</v>
      </c>
      <c r="F20" t="s">
        <v>50</v>
      </c>
      <c r="G20" t="s">
        <v>52</v>
      </c>
      <c r="H20" s="8">
        <v>1</v>
      </c>
      <c r="I20" s="21" t="s">
        <v>47</v>
      </c>
      <c r="J20" s="8"/>
    </row>
    <row r="21" spans="1:10" x14ac:dyDescent="0.25">
      <c r="A21" s="21" t="s">
        <v>136</v>
      </c>
      <c r="B21" s="21" t="s">
        <v>4</v>
      </c>
      <c r="C21" s="21" t="s">
        <v>5</v>
      </c>
      <c r="D21" s="21" t="s">
        <v>6</v>
      </c>
      <c r="E21" s="21" t="s">
        <v>43</v>
      </c>
      <c r="F21" t="s">
        <v>60</v>
      </c>
      <c r="G21" t="s">
        <v>62</v>
      </c>
      <c r="H21" s="8">
        <v>2</v>
      </c>
      <c r="I21" s="21" t="s">
        <v>47</v>
      </c>
      <c r="J21" s="8"/>
    </row>
    <row r="22" spans="1:10" x14ac:dyDescent="0.25">
      <c r="A22" s="21" t="s">
        <v>136</v>
      </c>
      <c r="B22" s="21" t="s">
        <v>4</v>
      </c>
      <c r="C22" s="21" t="s">
        <v>5</v>
      </c>
      <c r="D22" s="21" t="s">
        <v>6</v>
      </c>
      <c r="E22" s="21" t="s">
        <v>43</v>
      </c>
      <c r="F22" t="s">
        <v>55</v>
      </c>
      <c r="G22" t="s">
        <v>57</v>
      </c>
      <c r="H22" s="8">
        <v>1</v>
      </c>
      <c r="I22" s="21" t="s">
        <v>47</v>
      </c>
      <c r="J22" s="8"/>
    </row>
    <row r="23" spans="1:10" x14ac:dyDescent="0.25">
      <c r="A23" s="21" t="s">
        <v>136</v>
      </c>
      <c r="B23" s="21" t="s">
        <v>4</v>
      </c>
      <c r="C23" s="21" t="s">
        <v>5</v>
      </c>
      <c r="D23" s="21" t="s">
        <v>6</v>
      </c>
      <c r="E23" s="21" t="s">
        <v>43</v>
      </c>
      <c r="F23" t="s">
        <v>144</v>
      </c>
      <c r="G23" t="s">
        <v>37</v>
      </c>
      <c r="H23" s="8">
        <v>1</v>
      </c>
      <c r="I23" s="21" t="s">
        <v>47</v>
      </c>
      <c r="J23" s="8"/>
    </row>
    <row r="24" ht="18" customHeight="1" spans="1:27" x14ac:dyDescent="0.25">
      <c r="A24" s="17" t="s">
        <v>112</v>
      </c>
      <c r="B24" s="17" t="s">
        <v>4</v>
      </c>
      <c r="C24" s="17" t="s">
        <v>5</v>
      </c>
      <c r="D24" s="17" t="s">
        <v>6</v>
      </c>
      <c r="E24" s="17" t="s">
        <v>117</v>
      </c>
      <c r="F24" s="17" t="s">
        <v>38</v>
      </c>
      <c r="G24" s="17" t="s">
        <v>38</v>
      </c>
      <c r="H24" s="18"/>
      <c r="I24" s="19" t="s">
        <v>47</v>
      </c>
      <c r="J24" s="18">
        <v>1</v>
      </c>
      <c r="L24" s="20">
        <v>0</v>
      </c>
      <c r="M24" s="20">
        <v>0</v>
      </c>
      <c r="N24" s="20">
        <v>0</v>
      </c>
      <c r="O24" s="9">
        <f>(L24-(M24+N24))*J24</f>
        <v>0</v>
      </c>
      <c r="AA24" t="s">
        <v>162</v>
      </c>
    </row>
    <row r="25" spans="1:10" x14ac:dyDescent="0.25">
      <c r="A25" s="21" t="s">
        <v>112</v>
      </c>
      <c r="B25" s="21" t="s">
        <v>4</v>
      </c>
      <c r="C25" s="21" t="s">
        <v>5</v>
      </c>
      <c r="D25" s="21" t="s">
        <v>6</v>
      </c>
      <c r="E25" s="21" t="s">
        <v>117</v>
      </c>
      <c r="F25" t="s">
        <v>116</v>
      </c>
      <c r="G25" t="s">
        <v>52</v>
      </c>
      <c r="H25" s="8">
        <v>1</v>
      </c>
      <c r="I25" s="21" t="s">
        <v>47</v>
      </c>
      <c r="J25" s="8"/>
    </row>
    <row r="26" spans="1:10" x14ac:dyDescent="0.25">
      <c r="A26" s="21" t="s">
        <v>112</v>
      </c>
      <c r="B26" s="21" t="s">
        <v>4</v>
      </c>
      <c r="C26" s="21" t="s">
        <v>5</v>
      </c>
      <c r="D26" s="21" t="s">
        <v>6</v>
      </c>
      <c r="E26" s="21" t="s">
        <v>117</v>
      </c>
      <c r="F26" t="s">
        <v>122</v>
      </c>
      <c r="G26" t="s">
        <v>124</v>
      </c>
      <c r="H26" s="8">
        <v>1</v>
      </c>
      <c r="I26" s="21" t="s">
        <v>47</v>
      </c>
      <c r="J26" s="8"/>
    </row>
    <row r="27" spans="1:10" x14ac:dyDescent="0.25">
      <c r="A27" s="21" t="s">
        <v>112</v>
      </c>
      <c r="B27" s="21" t="s">
        <v>4</v>
      </c>
      <c r="C27" s="21" t="s">
        <v>5</v>
      </c>
      <c r="D27" s="21" t="s">
        <v>6</v>
      </c>
      <c r="E27" s="21" t="s">
        <v>117</v>
      </c>
      <c r="F27" t="s">
        <v>130</v>
      </c>
      <c r="G27" t="s">
        <v>57</v>
      </c>
      <c r="H27" s="8">
        <v>1</v>
      </c>
      <c r="I27" s="21" t="s">
        <v>47</v>
      </c>
      <c r="J27" s="8"/>
    </row>
    <row r="28" spans="1:10" x14ac:dyDescent="0.25">
      <c r="A28" s="21" t="s">
        <v>112</v>
      </c>
      <c r="B28" s="21" t="s">
        <v>4</v>
      </c>
      <c r="C28" s="21" t="s">
        <v>5</v>
      </c>
      <c r="D28" s="21" t="s">
        <v>6</v>
      </c>
      <c r="E28" s="21" t="s">
        <v>117</v>
      </c>
      <c r="F28" t="s">
        <v>127</v>
      </c>
      <c r="G28" t="s">
        <v>37</v>
      </c>
      <c r="H28" s="8">
        <v>1</v>
      </c>
      <c r="I28" s="21" t="s">
        <v>47</v>
      </c>
      <c r="J28" s="8"/>
    </row>
  </sheetData>
  <autoFilter ref="A2:P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4"/>
  <sheetFormatPr defaultRowHeight="15" outlineLevelRow="0" outlineLevelCol="0" x14ac:dyDescent="55"/>
  <cols>
    <col min="1" max="1" width="18" customWidth="1"/>
    <col min="2" max="2" width="22" customWidth="1"/>
    <col min="3" max="3" width="16" customWidth="1"/>
    <col min="4" max="4" width="20" customWidth="1"/>
    <col min="5" max="5" width="8" customWidth="1"/>
    <col min="6" max="6" width="20" customWidth="1"/>
    <col min="7" max="7" width="8" customWidth="1"/>
    <col min="8" max="8" width="18" customWidth="1"/>
    <col min="9" max="9" width="8" customWidth="1"/>
    <col min="10" max="10" width="32" customWidth="1"/>
    <col min="11" max="11" width="8" customWidth="1"/>
    <col min="12" max="12" width="10" customWidth="1"/>
    <col min="13" max="13" width="16" customWidth="1"/>
    <col min="14" max="14" width="12" customWidth="1"/>
    <col min="15" max="15" width="18" customWidth="1"/>
    <col min="16" max="16" width="20" customWidth="1"/>
    <col min="17" max="17" width="22" customWidth="1"/>
    <col min="18" max="18" width="20" customWidth="1"/>
    <col min="27" max="27" width="9" hidden="1" customWidth="1"/>
  </cols>
  <sheetData>
    <row r="1" spans="1:18" x14ac:dyDescent="0.25">
      <c r="A1" s="22" t="s">
        <v>163</v>
      </c>
      <c r="B1" s="22"/>
      <c r="C1" s="22"/>
      <c r="D1" s="22" t="s">
        <v>164</v>
      </c>
      <c r="E1" s="22"/>
      <c r="F1" s="22"/>
      <c r="G1" s="22"/>
      <c r="H1" s="22"/>
      <c r="I1" s="22"/>
      <c r="J1" s="22"/>
      <c r="K1" s="22"/>
      <c r="L1" s="22" t="s">
        <v>165</v>
      </c>
      <c r="M1" s="22" t="s">
        <v>166</v>
      </c>
      <c r="N1" s="22"/>
      <c r="O1" s="22"/>
      <c r="P1" s="22"/>
      <c r="Q1" s="22"/>
      <c r="R1" s="22"/>
    </row>
    <row r="2" spans="10:18" s="7" customFormat="1" x14ac:dyDescent="0.25">
      <c r="J2" s="23" t="s">
        <v>145</v>
      </c>
      <c r="L2" s="24">
        <f>SUM(L4:L14)</f>
        <v>0</v>
      </c>
      <c r="R2" s="25">
        <f>SUM(R4:R14)</f>
        <v>0</v>
      </c>
    </row>
    <row r="3" ht="20" customHeight="1" spans="1:27" x14ac:dyDescent="0.25">
      <c r="A3" s="26" t="s">
        <v>167</v>
      </c>
      <c r="B3" s="26" t="s">
        <v>168</v>
      </c>
      <c r="C3" s="26" t="s">
        <v>147</v>
      </c>
      <c r="D3" s="26" t="s">
        <v>169</v>
      </c>
      <c r="E3" s="26" t="s">
        <v>170</v>
      </c>
      <c r="F3" s="26" t="s">
        <v>62</v>
      </c>
      <c r="G3" s="26" t="s">
        <v>170</v>
      </c>
      <c r="H3" s="26" t="s">
        <v>171</v>
      </c>
      <c r="I3" s="26" t="s">
        <v>170</v>
      </c>
      <c r="J3" s="26" t="s">
        <v>172</v>
      </c>
      <c r="K3" s="26" t="s">
        <v>170</v>
      </c>
      <c r="L3" s="26" t="s">
        <v>173</v>
      </c>
      <c r="M3" s="26" t="s">
        <v>1</v>
      </c>
      <c r="N3" s="26" t="s">
        <v>174</v>
      </c>
      <c r="O3" s="27" t="s">
        <v>153</v>
      </c>
      <c r="P3" s="27" t="s">
        <v>154</v>
      </c>
      <c r="Q3" s="27" t="s">
        <v>155</v>
      </c>
      <c r="R3" s="27" t="s">
        <v>156</v>
      </c>
      <c r="AA3" t="s">
        <v>157</v>
      </c>
    </row>
    <row r="4" spans="1:27" x14ac:dyDescent="0.25">
      <c r="A4" t="s">
        <v>175</v>
      </c>
      <c r="B4" t="s">
        <v>176</v>
      </c>
      <c r="C4" t="s">
        <v>177</v>
      </c>
      <c r="D4" t="s">
        <v>38</v>
      </c>
      <c r="E4" s="28" t="s">
        <v>38</v>
      </c>
      <c r="F4" t="s">
        <v>38</v>
      </c>
      <c r="G4" s="28" t="s">
        <v>38</v>
      </c>
      <c r="H4" t="s">
        <v>38</v>
      </c>
      <c r="I4" s="28" t="s">
        <v>38</v>
      </c>
      <c r="J4" t="s">
        <v>38</v>
      </c>
      <c r="K4" s="28" t="s">
        <v>38</v>
      </c>
      <c r="L4" s="28">
        <v>1</v>
      </c>
      <c r="M4" t="s">
        <v>5</v>
      </c>
      <c r="N4" t="s">
        <v>146</v>
      </c>
      <c r="O4" s="29">
        <v>0</v>
      </c>
      <c r="P4" s="29">
        <v>0</v>
      </c>
      <c r="Q4" s="29">
        <v>0</v>
      </c>
      <c r="R4" s="29">
        <f>(O4-(P4+Q4))*L4</f>
        <v>0</v>
      </c>
      <c r="AA4">
        <v>267028</v>
      </c>
    </row>
    <row r="5" spans="1:27" x14ac:dyDescent="0.25">
      <c r="A5" t="s">
        <v>175</v>
      </c>
      <c r="B5" t="s">
        <v>178</v>
      </c>
      <c r="C5" t="s">
        <v>177</v>
      </c>
      <c r="D5" t="s">
        <v>38</v>
      </c>
      <c r="E5" s="28" t="s">
        <v>38</v>
      </c>
      <c r="F5" t="s">
        <v>38</v>
      </c>
      <c r="G5" s="28" t="s">
        <v>38</v>
      </c>
      <c r="H5" t="s">
        <v>38</v>
      </c>
      <c r="I5" s="28" t="s">
        <v>38</v>
      </c>
      <c r="J5" t="s">
        <v>38</v>
      </c>
      <c r="K5" s="28" t="s">
        <v>38</v>
      </c>
      <c r="L5" s="28">
        <v>1</v>
      </c>
      <c r="M5" t="s">
        <v>5</v>
      </c>
      <c r="N5" t="s">
        <v>146</v>
      </c>
      <c r="O5" s="29">
        <v>0</v>
      </c>
      <c r="P5" s="29">
        <v>0</v>
      </c>
      <c r="Q5" s="29">
        <v>0</v>
      </c>
      <c r="R5" s="29">
        <f>(O5-(P5+Q5))*L5</f>
        <v>0</v>
      </c>
      <c r="AA5">
        <v>267029</v>
      </c>
    </row>
    <row r="6" spans="1:27" x14ac:dyDescent="0.25">
      <c r="A6" t="s">
        <v>175</v>
      </c>
      <c r="B6" t="s">
        <v>179</v>
      </c>
      <c r="C6" t="s">
        <v>177</v>
      </c>
      <c r="D6" t="s">
        <v>38</v>
      </c>
      <c r="E6" s="28" t="s">
        <v>38</v>
      </c>
      <c r="F6" t="s">
        <v>38</v>
      </c>
      <c r="G6" s="28" t="s">
        <v>38</v>
      </c>
      <c r="H6" t="s">
        <v>38</v>
      </c>
      <c r="I6" s="28" t="s">
        <v>38</v>
      </c>
      <c r="J6" t="s">
        <v>38</v>
      </c>
      <c r="K6" s="28" t="s">
        <v>38</v>
      </c>
      <c r="L6" s="28">
        <v>1</v>
      </c>
      <c r="M6" t="s">
        <v>5</v>
      </c>
      <c r="N6" t="s">
        <v>146</v>
      </c>
      <c r="O6" s="29">
        <v>0</v>
      </c>
      <c r="P6" s="29">
        <v>0</v>
      </c>
      <c r="Q6" s="29">
        <v>0</v>
      </c>
      <c r="R6" s="29">
        <f>(O6-(P6+Q6))*L6</f>
        <v>0</v>
      </c>
      <c r="AA6">
        <v>267030</v>
      </c>
    </row>
    <row r="7" spans="1:27" x14ac:dyDescent="0.25">
      <c r="A7" t="s">
        <v>180</v>
      </c>
      <c r="B7" t="s">
        <v>181</v>
      </c>
      <c r="C7" t="s">
        <v>182</v>
      </c>
      <c r="D7" t="s">
        <v>38</v>
      </c>
      <c r="E7" s="28" t="s">
        <v>38</v>
      </c>
      <c r="F7" t="s">
        <v>38</v>
      </c>
      <c r="G7" s="28" t="s">
        <v>38</v>
      </c>
      <c r="H7" t="s">
        <v>38</v>
      </c>
      <c r="I7" s="28" t="s">
        <v>38</v>
      </c>
      <c r="J7" t="s">
        <v>38</v>
      </c>
      <c r="K7" s="28" t="s">
        <v>38</v>
      </c>
      <c r="L7" s="28">
        <v>1</v>
      </c>
      <c r="M7" t="s">
        <v>5</v>
      </c>
      <c r="N7" t="s">
        <v>146</v>
      </c>
      <c r="O7" s="29">
        <v>0</v>
      </c>
      <c r="P7" s="29">
        <v>0</v>
      </c>
      <c r="Q7" s="29">
        <v>0</v>
      </c>
      <c r="R7" s="29">
        <f>(O7-(P7+Q7))*L7</f>
        <v>0</v>
      </c>
      <c r="AA7">
        <v>267020</v>
      </c>
    </row>
    <row r="8" spans="1:27" x14ac:dyDescent="0.25">
      <c r="A8" t="s">
        <v>180</v>
      </c>
      <c r="B8" t="s">
        <v>183</v>
      </c>
      <c r="C8" t="s">
        <v>182</v>
      </c>
      <c r="D8" t="s">
        <v>38</v>
      </c>
      <c r="E8" s="28" t="s">
        <v>38</v>
      </c>
      <c r="F8" t="s">
        <v>38</v>
      </c>
      <c r="G8" s="28" t="s">
        <v>38</v>
      </c>
      <c r="H8" t="s">
        <v>38</v>
      </c>
      <c r="I8" s="28" t="s">
        <v>38</v>
      </c>
      <c r="J8" t="s">
        <v>38</v>
      </c>
      <c r="K8" s="28" t="s">
        <v>38</v>
      </c>
      <c r="L8" s="28">
        <v>1</v>
      </c>
      <c r="M8" t="s">
        <v>5</v>
      </c>
      <c r="N8" t="s">
        <v>146</v>
      </c>
      <c r="O8" s="29">
        <v>0</v>
      </c>
      <c r="P8" s="29">
        <v>0</v>
      </c>
      <c r="Q8" s="29">
        <v>0</v>
      </c>
      <c r="R8" s="29">
        <f>(O8-(P8+Q8))*L8</f>
        <v>0</v>
      </c>
      <c r="AA8">
        <v>267021</v>
      </c>
    </row>
    <row r="9" spans="1:27" x14ac:dyDescent="0.25">
      <c r="A9" t="s">
        <v>180</v>
      </c>
      <c r="B9" t="s">
        <v>184</v>
      </c>
      <c r="C9" t="s">
        <v>185</v>
      </c>
      <c r="D9" t="s">
        <v>38</v>
      </c>
      <c r="E9" s="28" t="s">
        <v>38</v>
      </c>
      <c r="F9" t="s">
        <v>38</v>
      </c>
      <c r="G9" s="28" t="s">
        <v>38</v>
      </c>
      <c r="H9" t="s">
        <v>38</v>
      </c>
      <c r="I9" s="28" t="s">
        <v>38</v>
      </c>
      <c r="J9" t="s">
        <v>38</v>
      </c>
      <c r="K9" s="28" t="s">
        <v>38</v>
      </c>
      <c r="L9" s="28">
        <v>1</v>
      </c>
      <c r="M9" t="s">
        <v>5</v>
      </c>
      <c r="N9" t="s">
        <v>146</v>
      </c>
      <c r="O9" s="29">
        <v>0</v>
      </c>
      <c r="P9" s="29">
        <v>0</v>
      </c>
      <c r="Q9" s="29">
        <v>0</v>
      </c>
      <c r="R9" s="29">
        <f>(O9-(P9+Q9))*L9</f>
        <v>0</v>
      </c>
      <c r="AA9">
        <v>267022</v>
      </c>
    </row>
    <row r="10" spans="1:27" x14ac:dyDescent="0.25">
      <c r="A10" t="s">
        <v>186</v>
      </c>
      <c r="B10" t="s">
        <v>187</v>
      </c>
      <c r="C10" t="s">
        <v>182</v>
      </c>
      <c r="D10" t="s">
        <v>38</v>
      </c>
      <c r="E10" s="28" t="s">
        <v>38</v>
      </c>
      <c r="F10" t="s">
        <v>38</v>
      </c>
      <c r="G10" s="28" t="s">
        <v>38</v>
      </c>
      <c r="H10" t="s">
        <v>38</v>
      </c>
      <c r="I10" s="28" t="s">
        <v>38</v>
      </c>
      <c r="J10" t="s">
        <v>38</v>
      </c>
      <c r="K10" s="28" t="s">
        <v>38</v>
      </c>
      <c r="L10" s="28">
        <v>1</v>
      </c>
      <c r="M10" t="s">
        <v>5</v>
      </c>
      <c r="N10" t="s">
        <v>146</v>
      </c>
      <c r="O10" s="29">
        <v>0</v>
      </c>
      <c r="P10" s="29">
        <v>0</v>
      </c>
      <c r="Q10" s="29">
        <v>0</v>
      </c>
      <c r="R10" s="29">
        <f>(O10-(P10+Q10))*L10</f>
        <v>0</v>
      </c>
      <c r="AA10">
        <v>267023</v>
      </c>
    </row>
    <row r="11" spans="1:27" x14ac:dyDescent="0.25">
      <c r="A11" t="s">
        <v>186</v>
      </c>
      <c r="B11" t="s">
        <v>188</v>
      </c>
      <c r="C11" t="s">
        <v>182</v>
      </c>
      <c r="D11" t="s">
        <v>38</v>
      </c>
      <c r="E11" s="28" t="s">
        <v>38</v>
      </c>
      <c r="F11" t="s">
        <v>38</v>
      </c>
      <c r="G11" s="28" t="s">
        <v>38</v>
      </c>
      <c r="H11" t="s">
        <v>38</v>
      </c>
      <c r="I11" s="28" t="s">
        <v>38</v>
      </c>
      <c r="J11" t="s">
        <v>38</v>
      </c>
      <c r="K11" s="28" t="s">
        <v>38</v>
      </c>
      <c r="L11" s="28">
        <v>1</v>
      </c>
      <c r="M11" t="s">
        <v>5</v>
      </c>
      <c r="N11" t="s">
        <v>146</v>
      </c>
      <c r="O11" s="29">
        <v>0</v>
      </c>
      <c r="P11" s="29">
        <v>0</v>
      </c>
      <c r="Q11" s="29">
        <v>0</v>
      </c>
      <c r="R11" s="29">
        <f>(O11-(P11+Q11))*L11</f>
        <v>0</v>
      </c>
      <c r="AA11">
        <v>267024</v>
      </c>
    </row>
    <row r="12" spans="1:27" x14ac:dyDescent="0.25">
      <c r="A12" t="s">
        <v>186</v>
      </c>
      <c r="B12" t="s">
        <v>189</v>
      </c>
      <c r="C12" t="s">
        <v>182</v>
      </c>
      <c r="D12" t="s">
        <v>38</v>
      </c>
      <c r="E12" s="28" t="s">
        <v>38</v>
      </c>
      <c r="F12" t="s">
        <v>38</v>
      </c>
      <c r="G12" s="28" t="s">
        <v>38</v>
      </c>
      <c r="H12" t="s">
        <v>38</v>
      </c>
      <c r="I12" s="28" t="s">
        <v>38</v>
      </c>
      <c r="J12" t="s">
        <v>38</v>
      </c>
      <c r="K12" s="28" t="s">
        <v>38</v>
      </c>
      <c r="L12" s="28">
        <v>1</v>
      </c>
      <c r="M12" t="s">
        <v>5</v>
      </c>
      <c r="N12" t="s">
        <v>146</v>
      </c>
      <c r="O12" s="29">
        <v>0</v>
      </c>
      <c r="P12" s="29">
        <v>0</v>
      </c>
      <c r="Q12" s="29">
        <v>0</v>
      </c>
      <c r="R12" s="29">
        <f>(O12-(P12+Q12))*L12</f>
        <v>0</v>
      </c>
      <c r="AA12">
        <v>267025</v>
      </c>
    </row>
    <row r="13" spans="1:27" x14ac:dyDescent="0.25">
      <c r="A13" t="s">
        <v>186</v>
      </c>
      <c r="B13" t="s">
        <v>190</v>
      </c>
      <c r="C13" t="s">
        <v>182</v>
      </c>
      <c r="D13" t="s">
        <v>38</v>
      </c>
      <c r="E13" s="28" t="s">
        <v>38</v>
      </c>
      <c r="F13" t="s">
        <v>38</v>
      </c>
      <c r="G13" s="28" t="s">
        <v>38</v>
      </c>
      <c r="H13" t="s">
        <v>38</v>
      </c>
      <c r="I13" s="28" t="s">
        <v>38</v>
      </c>
      <c r="J13" t="s">
        <v>38</v>
      </c>
      <c r="K13" s="28" t="s">
        <v>38</v>
      </c>
      <c r="L13" s="28">
        <v>1</v>
      </c>
      <c r="M13" t="s">
        <v>5</v>
      </c>
      <c r="N13" t="s">
        <v>146</v>
      </c>
      <c r="O13" s="29">
        <v>0</v>
      </c>
      <c r="P13" s="29">
        <v>0</v>
      </c>
      <c r="Q13" s="29">
        <v>0</v>
      </c>
      <c r="R13" s="29">
        <f>(O13-(P13+Q13))*L13</f>
        <v>0</v>
      </c>
      <c r="AA13">
        <v>267026</v>
      </c>
    </row>
    <row r="14" spans="1:27" x14ac:dyDescent="0.25">
      <c r="A14" t="s">
        <v>191</v>
      </c>
      <c r="B14" t="s">
        <v>192</v>
      </c>
      <c r="C14" t="s">
        <v>177</v>
      </c>
      <c r="D14" t="s">
        <v>193</v>
      </c>
      <c r="E14" s="28" t="s">
        <v>41</v>
      </c>
      <c r="F14" t="s">
        <v>194</v>
      </c>
      <c r="G14" s="28" t="s">
        <v>41</v>
      </c>
      <c r="H14" t="s">
        <v>195</v>
      </c>
      <c r="I14" s="28" t="s">
        <v>41</v>
      </c>
      <c r="J14" t="s">
        <v>196</v>
      </c>
      <c r="K14" s="28" t="s">
        <v>41</v>
      </c>
      <c r="L14" s="28">
        <v>5</v>
      </c>
      <c r="M14" t="s">
        <v>5</v>
      </c>
      <c r="N14" t="s">
        <v>146</v>
      </c>
      <c r="O14" s="29">
        <v>0</v>
      </c>
      <c r="P14" s="29">
        <v>0</v>
      </c>
      <c r="Q14" s="29">
        <v>0</v>
      </c>
      <c r="R14" s="29">
        <f>(O14-(P14+Q14))*L14</f>
        <v>0</v>
      </c>
      <c r="AA14">
        <v>267027</v>
      </c>
    </row>
  </sheetData>
  <mergeCells count="3">
    <mergeCell ref="A1:C1"/>
    <mergeCell ref="D1:K1"/>
    <mergeCell ref="M1:R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Raw Data</vt:lpstr>
      <vt:lpstr>Bid Form</vt:lpstr>
      <vt:lpstr>3rd Party Assets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2025-12-24T19:14:30Z</dcterms:created>
  <dcterms:modified xsi:type="dcterms:W3CDTF">2025-12-24T19:14:30Z</dcterms:modified>
</cp:coreProperties>
</file>