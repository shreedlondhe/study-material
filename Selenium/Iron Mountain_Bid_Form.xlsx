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7C64A69E-27BF-4A1D-BFB7-99E4C7B67B32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ummary" sheetId="1" r:id="rId1"/>
    <sheet name="Raw Data" sheetId="2" r:id="rId2"/>
    <sheet name="Bid Form" sheetId="3" r:id="rId3"/>
    <sheet name="3rd Party Asse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4" l="1"/>
  <c r="R6" i="4"/>
  <c r="R5" i="4"/>
  <c r="R4" i="4"/>
  <c r="L2" i="4"/>
  <c r="O12" i="3"/>
  <c r="O11" i="3"/>
  <c r="O10" i="3"/>
  <c r="O9" i="3"/>
  <c r="O3" i="3"/>
  <c r="O1" i="3"/>
  <c r="J1" i="3"/>
  <c r="R2" i="4" l="1"/>
</calcChain>
</file>

<file path=xl/sharedStrings.xml><?xml version="1.0" encoding="utf-8"?>
<sst xmlns="http://schemas.openxmlformats.org/spreadsheetml/2006/main" count="328" uniqueCount="129">
  <si>
    <t>Region</t>
  </si>
  <si>
    <t>Country</t>
  </si>
  <si>
    <t>LOB</t>
  </si>
  <si>
    <t>Quantity</t>
  </si>
  <si>
    <t>ABU</t>
  </si>
  <si>
    <t>United States</t>
  </si>
  <si>
    <t>19K78K4</t>
  </si>
  <si>
    <t>19QC4K4</t>
  </si>
  <si>
    <t>20K78K5</t>
  </si>
  <si>
    <t>20QC4K5</t>
  </si>
  <si>
    <t>Laptops</t>
  </si>
  <si>
    <t>3rd Party Assets</t>
  </si>
  <si>
    <t>Total Assets</t>
  </si>
  <si>
    <t>Notes from EDPs for "BOM Qty. Assumption" (if any):</t>
  </si>
  <si>
    <t>Config ID</t>
  </si>
  <si>
    <t>SVC_TAG_ID</t>
  </si>
  <si>
    <t>SEQ_NBR</t>
  </si>
  <si>
    <t>PART_NBR</t>
  </si>
  <si>
    <t>PART_DESC</t>
  </si>
  <si>
    <t>COMDTY_CD</t>
  </si>
  <si>
    <t>COMDTY_DESC</t>
  </si>
  <si>
    <t>CFI_FLG</t>
  </si>
  <si>
    <t>ALT_TYPE_DESC</t>
  </si>
  <si>
    <t>ALT_PRODUCT_DESC</t>
  </si>
  <si>
    <t>PART_QTY</t>
  </si>
  <si>
    <t>CUST_BU_ID</t>
  </si>
  <si>
    <t>BRAND_DESC</t>
  </si>
  <si>
    <t>RGN_ABBR</t>
  </si>
  <si>
    <t>CTRY_DESC</t>
  </si>
  <si>
    <t>CNTRCT_STRT_DTS</t>
  </si>
  <si>
    <t>CNTRCT_END_DTS</t>
  </si>
  <si>
    <t>Category</t>
  </si>
  <si>
    <t>Is_Restricted_Part</t>
  </si>
  <si>
    <t>Restricted_PART_NBR</t>
  </si>
  <si>
    <t>Restricted_PART_DESC</t>
  </si>
  <si>
    <t>CFG_44860D27</t>
  </si>
  <si>
    <t>21K79K3</t>
  </si>
  <si>
    <t>33206844000.0</t>
  </si>
  <si>
    <t>FV56Y</t>
  </si>
  <si>
    <t>SSDR,256,P34,80S2,HYNIX,PC711</t>
  </si>
  <si>
    <t>STR</t>
  </si>
  <si>
    <t>Storage</t>
  </si>
  <si>
    <t/>
  </si>
  <si>
    <t>CLIENT SOLUTIONS PBU</t>
  </si>
  <si>
    <t>LATITUDE NOTEBOOK</t>
  </si>
  <si>
    <t>1</t>
  </si>
  <si>
    <t>11</t>
  </si>
  <si>
    <t>LATITUDE 5420</t>
  </si>
  <si>
    <t>AMER</t>
  </si>
  <si>
    <t>2021-12-10</t>
  </si>
  <si>
    <t>2024-12-10 23:59:59.321</t>
  </si>
  <si>
    <t>No</t>
  </si>
  <si>
    <t>33206843870.0</t>
  </si>
  <si>
    <t>3P5X2</t>
  </si>
  <si>
    <t>PWA,PLN,T,U,VI7-1185G7,5420,3</t>
  </si>
  <si>
    <t>PLR</t>
  </si>
  <si>
    <t>Planer</t>
  </si>
  <si>
    <t>33206843830.0</t>
  </si>
  <si>
    <t>98HR2</t>
  </si>
  <si>
    <t>ASSY,BASE,L10,5420</t>
  </si>
  <si>
    <t>BAS</t>
  </si>
  <si>
    <t>Base</t>
  </si>
  <si>
    <t>33206843980.0</t>
  </si>
  <si>
    <t>1CXP8</t>
  </si>
  <si>
    <t>DIMM,16GB,3200,1RX8,16,DDR4,NS</t>
  </si>
  <si>
    <t>MEM</t>
  </si>
  <si>
    <t>Memory</t>
  </si>
  <si>
    <t>33206843970.0</t>
  </si>
  <si>
    <t>WCDHX</t>
  </si>
  <si>
    <t>LCD,14.0,FHD,BENT,AG,BOE</t>
  </si>
  <si>
    <t>PER</t>
  </si>
  <si>
    <t>Peripheral</t>
  </si>
  <si>
    <t>Grand Total</t>
  </si>
  <si>
    <t>USD</t>
  </si>
  <si>
    <t>Product Type</t>
  </si>
  <si>
    <t>Product Model</t>
  </si>
  <si>
    <t>Components</t>
  </si>
  <si>
    <t>Commodity Name</t>
  </si>
  <si>
    <t>Commodity Qty</t>
  </si>
  <si>
    <t>Restricted Part</t>
  </si>
  <si>
    <t>Per Unit Value Back</t>
  </si>
  <si>
    <t>Service Fee (Per Unit)</t>
  </si>
  <si>
    <t>Logistics Fees (Per Unit)</t>
  </si>
  <si>
    <t>Extended Value Back</t>
  </si>
  <si>
    <t>AssetIDs</t>
  </si>
  <si>
    <t>232300</t>
  </si>
  <si>
    <t>CFG_E3B0C442</t>
  </si>
  <si>
    <t>No data available</t>
  </si>
  <si>
    <t>232301</t>
  </si>
  <si>
    <t>232302</t>
  </si>
  <si>
    <t>232303</t>
  </si>
  <si>
    <t>232304</t>
  </si>
  <si>
    <t>Product</t>
  </si>
  <si>
    <t>Configuration</t>
  </si>
  <si>
    <t>Config Quantity</t>
  </si>
  <si>
    <t>Commercials</t>
  </si>
  <si>
    <t>Manufacturer</t>
  </si>
  <si>
    <t>Model</t>
  </si>
  <si>
    <t>Processor</t>
  </si>
  <si>
    <t>Qty</t>
  </si>
  <si>
    <t>Hard Drives*</t>
  </si>
  <si>
    <t>Peripherals / Special Configurations*</t>
  </si>
  <si>
    <t>Total</t>
  </si>
  <si>
    <t>Currency</t>
  </si>
  <si>
    <t>Dell</t>
  </si>
  <si>
    <t>PowerEdge R750</t>
  </si>
  <si>
    <t>Server</t>
  </si>
  <si>
    <t>Intel Xeon</t>
  </si>
  <si>
    <t>2</t>
  </si>
  <si>
    <t>128GB DDR4</t>
  </si>
  <si>
    <t>2TB SSD</t>
  </si>
  <si>
    <t>Nvidia H100 GPU 80GB</t>
  </si>
  <si>
    <t>4</t>
  </si>
  <si>
    <t>PowerEdge R7525</t>
  </si>
  <si>
    <t>AMD EPYC</t>
  </si>
  <si>
    <t>512GB DDR4</t>
  </si>
  <si>
    <t>8TB SSD</t>
  </si>
  <si>
    <t>AMD MI210 64GB</t>
  </si>
  <si>
    <t>PowerEdge XE8545</t>
  </si>
  <si>
    <t>256GB DDR4</t>
  </si>
  <si>
    <t>4TB NVMe</t>
  </si>
  <si>
    <t>Nvidia A100 PCIe 80GB</t>
  </si>
  <si>
    <t>8</t>
  </si>
  <si>
    <t>Precision 7920</t>
  </si>
  <si>
    <t>Workstation</t>
  </si>
  <si>
    <t>Intel Xeon W</t>
  </si>
  <si>
    <t>64GB DDR4</t>
  </si>
  <si>
    <t>1TB NVMe</t>
  </si>
  <si>
    <t>Nvidia L40 48GB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</si>
</sst>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05C99"/>
      </patternFill>
    </fill>
    <fill>
      <patternFill patternType="solid">
        <fgColor rgb="FF0076CE"/>
      </patternFill>
    </fill>
    <fill>
      <patternFill patternType="solid">
        <fgColor rgb="FFD9F5FD"/>
      </patternFill>
    </fill>
    <fill>
      <patternFill patternType="solid">
        <fgColor rgb="FFEEF9D6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1" fillId="0" borderId="0" xfId="0" applyFont="1"/>
    <xf numFmtId="0" fontId="1" fillId="3" borderId="2" xfId="0" applyFont="1" applyFill="1" applyBorder="1"/>
    <xf numFmtId="1" fontId="1" fillId="3" borderId="2" xfId="0" applyNumberFormat="1" applyFont="1" applyFill="1" applyBorder="1"/>
    <xf numFmtId="164" fontId="1" fillId="4" borderId="0" xfId="0" applyNumberFormat="1" applyFont="1" applyFill="1"/>
    <xf numFmtId="0" fontId="0" fillId="5" borderId="0" xfId="0" applyFill="1"/>
    <xf numFmtId="1" fontId="0" fillId="5" borderId="0" xfId="0" applyNumberFormat="1" applyFill="1"/>
    <xf numFmtId="0" fontId="0" fillId="5" borderId="0" xfId="0" applyFill="1" applyAlignment="1">
      <alignment horizontal="center" vertical="center"/>
    </xf>
    <xf numFmtId="164" fontId="0" fillId="6" borderId="0" xfId="0" applyNumberFormat="1" applyFill="1"/>
    <xf numFmtId="164" fontId="0" fillId="7" borderId="0" xfId="0" applyNumberFormat="1" applyFill="1"/>
    <xf numFmtId="0" fontId="3" fillId="0" borderId="0" xfId="0" applyFont="1"/>
    <xf numFmtId="0" fontId="2" fillId="7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3" fontId="2" fillId="0" borderId="0" xfId="0" applyNumberFormat="1" applyFont="1"/>
    <xf numFmtId="164" fontId="2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1" xfId="0" applyBorder="1" applyAlignment="1">
      <alignment vertical="top" wrapText="1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3" max="3" width="12" customWidth="1"/>
    <col min="4" max="4" width="17" customWidth="1"/>
    <col min="5" max="5" width="24" customWidth="1"/>
    <col min="6" max="6" width="12" customWidth="1"/>
  </cols>
  <sheetData>
    <row r="1" spans="3:6" ht="20" customHeight="1" x14ac:dyDescent="0.35">
      <c r="C1" s="1" t="s">
        <v>0</v>
      </c>
      <c r="D1" s="1" t="s">
        <v>1</v>
      </c>
      <c r="E1" s="1" t="s">
        <v>2</v>
      </c>
      <c r="F1" s="1" t="s">
        <v>3</v>
      </c>
    </row>
    <row r="2" spans="3:6" x14ac:dyDescent="0.35">
      <c r="C2" s="2" t="s">
        <v>4</v>
      </c>
      <c r="D2" s="2" t="s">
        <v>5</v>
      </c>
      <c r="E2" s="2" t="s">
        <v>6</v>
      </c>
      <c r="F2" s="3">
        <v>1</v>
      </c>
    </row>
    <row r="3" spans="3:6" x14ac:dyDescent="0.35">
      <c r="C3" s="2" t="s">
        <v>4</v>
      </c>
      <c r="D3" s="2" t="s">
        <v>5</v>
      </c>
      <c r="E3" s="2" t="s">
        <v>7</v>
      </c>
      <c r="F3" s="3">
        <v>1</v>
      </c>
    </row>
    <row r="4" spans="3:6" x14ac:dyDescent="0.35">
      <c r="C4" s="2" t="s">
        <v>4</v>
      </c>
      <c r="D4" s="2" t="s">
        <v>5</v>
      </c>
      <c r="E4" s="2" t="s">
        <v>8</v>
      </c>
      <c r="F4" s="3">
        <v>1</v>
      </c>
    </row>
    <row r="5" spans="3:6" x14ac:dyDescent="0.35">
      <c r="C5" s="2" t="s">
        <v>4</v>
      </c>
      <c r="D5" s="2" t="s">
        <v>5</v>
      </c>
      <c r="E5" s="2" t="s">
        <v>9</v>
      </c>
      <c r="F5" s="3">
        <v>1</v>
      </c>
    </row>
    <row r="6" spans="3:6" x14ac:dyDescent="0.35">
      <c r="C6" s="2" t="s">
        <v>4</v>
      </c>
      <c r="D6" s="2" t="s">
        <v>5</v>
      </c>
      <c r="E6" s="2" t="s">
        <v>10</v>
      </c>
      <c r="F6" s="3">
        <v>1</v>
      </c>
    </row>
    <row r="7" spans="3:6" x14ac:dyDescent="0.35">
      <c r="C7" s="2" t="s">
        <v>4</v>
      </c>
      <c r="D7" s="2" t="s">
        <v>5</v>
      </c>
      <c r="E7" s="2" t="s">
        <v>11</v>
      </c>
      <c r="F7" s="3">
        <v>55</v>
      </c>
    </row>
    <row r="8" spans="3:6" x14ac:dyDescent="0.35">
      <c r="E8" s="4" t="s">
        <v>12</v>
      </c>
      <c r="F8" s="5">
        <v>60</v>
      </c>
    </row>
    <row r="10" spans="3:6" ht="60" customHeight="1" x14ac:dyDescent="0.35">
      <c r="C10" s="30" t="s">
        <v>13</v>
      </c>
      <c r="D10" s="30"/>
      <c r="E10" s="30"/>
      <c r="F10" s="30"/>
    </row>
  </sheetData>
  <mergeCells count="1">
    <mergeCell ref="C10:F1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1" s="6" customFormat="1" x14ac:dyDescent="0.3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</row>
    <row r="2" spans="1:21" x14ac:dyDescent="0.3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5</v>
      </c>
      <c r="P2" t="s">
        <v>49</v>
      </c>
      <c r="Q2" t="s">
        <v>50</v>
      </c>
      <c r="R2" t="s">
        <v>10</v>
      </c>
      <c r="S2" t="s">
        <v>51</v>
      </c>
      <c r="T2" t="s">
        <v>42</v>
      </c>
      <c r="U2" t="s">
        <v>42</v>
      </c>
    </row>
    <row r="3" spans="1:21" x14ac:dyDescent="0.35">
      <c r="A3" t="s">
        <v>35</v>
      </c>
      <c r="B3" t="s">
        <v>36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5</v>
      </c>
      <c r="P3" t="s">
        <v>49</v>
      </c>
      <c r="Q3" t="s">
        <v>50</v>
      </c>
      <c r="R3" t="s">
        <v>10</v>
      </c>
      <c r="S3" t="s">
        <v>51</v>
      </c>
      <c r="T3" t="s">
        <v>42</v>
      </c>
      <c r="U3" t="s">
        <v>42</v>
      </c>
    </row>
    <row r="4" spans="1:21" x14ac:dyDescent="0.35">
      <c r="A4" t="s">
        <v>35</v>
      </c>
      <c r="B4" t="s">
        <v>36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5</v>
      </c>
      <c r="P4" t="s">
        <v>49</v>
      </c>
      <c r="Q4" t="s">
        <v>50</v>
      </c>
      <c r="R4" t="s">
        <v>10</v>
      </c>
      <c r="S4" t="s">
        <v>51</v>
      </c>
      <c r="T4" t="s">
        <v>42</v>
      </c>
      <c r="U4" t="s">
        <v>42</v>
      </c>
    </row>
    <row r="5" spans="1:21" x14ac:dyDescent="0.35">
      <c r="A5" t="s">
        <v>35</v>
      </c>
      <c r="B5" t="s">
        <v>36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5</v>
      </c>
      <c r="P5" t="s">
        <v>49</v>
      </c>
      <c r="Q5" t="s">
        <v>50</v>
      </c>
      <c r="R5" t="s">
        <v>10</v>
      </c>
      <c r="S5" t="s">
        <v>51</v>
      </c>
      <c r="T5" t="s">
        <v>42</v>
      </c>
      <c r="U5" t="s">
        <v>42</v>
      </c>
    </row>
    <row r="6" spans="1:21" x14ac:dyDescent="0.35">
      <c r="A6" t="s">
        <v>35</v>
      </c>
      <c r="B6" t="s">
        <v>36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5</v>
      </c>
      <c r="P6" t="s">
        <v>49</v>
      </c>
      <c r="Q6" t="s">
        <v>50</v>
      </c>
      <c r="R6" t="s">
        <v>10</v>
      </c>
      <c r="S6" t="s">
        <v>51</v>
      </c>
      <c r="T6" t="s">
        <v>42</v>
      </c>
      <c r="U6" t="s">
        <v>42</v>
      </c>
    </row>
  </sheetData>
  <autoFilter ref="A1:U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"/>
  <sheetViews>
    <sheetView topLeftCell="H1" workbookViewId="0">
      <pane ySplit="2" topLeftCell="A3" activePane="bottomLeft" state="frozen"/>
      <selection pane="bottomLeft" activeCell="M9" sqref="M9:N12"/>
    </sheetView>
  </sheetViews>
  <sheetFormatPr defaultRowHeight="14.5" x14ac:dyDescent="0.35"/>
  <cols>
    <col min="1" max="1" width="14" customWidth="1"/>
    <col min="2" max="2" width="10" customWidth="1"/>
    <col min="3" max="3" width="20" customWidth="1"/>
    <col min="4" max="4" width="16" customWidth="1"/>
    <col min="5" max="5" width="22" customWidth="1"/>
    <col min="6" max="6" width="44" customWidth="1"/>
    <col min="7" max="7" width="22" customWidth="1"/>
    <col min="8" max="8" width="17" style="7" customWidth="1"/>
    <col min="9" max="9" width="17" customWidth="1"/>
    <col min="10" max="10" width="15" style="7" customWidth="1"/>
    <col min="11" max="11" width="9.08984375" customWidth="1"/>
    <col min="12" max="12" width="20" style="8" customWidth="1"/>
    <col min="13" max="13" width="22" style="8" customWidth="1"/>
    <col min="14" max="14" width="24" style="8" customWidth="1"/>
    <col min="15" max="15" width="22" style="8" customWidth="1"/>
    <col min="27" max="27" width="9" hidden="1" customWidth="1"/>
  </cols>
  <sheetData>
    <row r="1" spans="1:27" ht="32" customHeight="1" x14ac:dyDescent="0.35">
      <c r="I1" s="9" t="s">
        <v>72</v>
      </c>
      <c r="J1" s="10">
        <f>SUM(J3:J12)</f>
        <v>5</v>
      </c>
      <c r="K1" s="9" t="s">
        <v>73</v>
      </c>
      <c r="O1" s="11">
        <f>SUM(O3:O12)</f>
        <v>43434</v>
      </c>
    </row>
    <row r="2" spans="1:27" s="12" customFormat="1" x14ac:dyDescent="0.35">
      <c r="A2" s="13" t="s">
        <v>14</v>
      </c>
      <c r="B2" s="13" t="s">
        <v>0</v>
      </c>
      <c r="C2" s="13" t="s">
        <v>1</v>
      </c>
      <c r="D2" s="13" t="s">
        <v>74</v>
      </c>
      <c r="E2" s="13" t="s">
        <v>75</v>
      </c>
      <c r="F2" s="13" t="s">
        <v>76</v>
      </c>
      <c r="G2" s="13" t="s">
        <v>77</v>
      </c>
      <c r="H2" s="14" t="s">
        <v>78</v>
      </c>
      <c r="I2" s="13" t="s">
        <v>79</v>
      </c>
      <c r="J2" s="14" t="s">
        <v>3</v>
      </c>
      <c r="L2" s="15" t="s">
        <v>80</v>
      </c>
      <c r="M2" s="15" t="s">
        <v>81</v>
      </c>
      <c r="N2" s="15" t="s">
        <v>82</v>
      </c>
      <c r="O2" s="15" t="s">
        <v>83</v>
      </c>
      <c r="AA2" s="12" t="s">
        <v>84</v>
      </c>
    </row>
    <row r="3" spans="1:27" ht="18" customHeight="1" x14ac:dyDescent="0.35">
      <c r="A3" s="16" t="s">
        <v>35</v>
      </c>
      <c r="B3" s="16" t="s">
        <v>4</v>
      </c>
      <c r="C3" s="16" t="s">
        <v>5</v>
      </c>
      <c r="D3" s="16" t="s">
        <v>10</v>
      </c>
      <c r="E3" s="16" t="s">
        <v>47</v>
      </c>
      <c r="F3" s="16" t="s">
        <v>42</v>
      </c>
      <c r="G3" s="16" t="s">
        <v>42</v>
      </c>
      <c r="H3" s="17"/>
      <c r="I3" s="18" t="s">
        <v>51</v>
      </c>
      <c r="J3" s="17">
        <v>1</v>
      </c>
      <c r="L3" s="19">
        <v>8788</v>
      </c>
      <c r="M3" s="19">
        <v>100</v>
      </c>
      <c r="N3" s="19">
        <v>200</v>
      </c>
      <c r="O3" s="20">
        <f>(L3-(M3+N3))*J3</f>
        <v>8488</v>
      </c>
      <c r="AA3" t="s">
        <v>85</v>
      </c>
    </row>
    <row r="4" spans="1:27" x14ac:dyDescent="0.35">
      <c r="A4" s="21" t="s">
        <v>35</v>
      </c>
      <c r="B4" s="21" t="s">
        <v>4</v>
      </c>
      <c r="C4" s="21" t="s">
        <v>5</v>
      </c>
      <c r="D4" s="21" t="s">
        <v>10</v>
      </c>
      <c r="E4" s="21" t="s">
        <v>47</v>
      </c>
      <c r="F4" t="s">
        <v>59</v>
      </c>
      <c r="G4" t="s">
        <v>61</v>
      </c>
      <c r="H4" s="7">
        <v>1</v>
      </c>
      <c r="I4" s="21" t="s">
        <v>51</v>
      </c>
    </row>
    <row r="5" spans="1:27" x14ac:dyDescent="0.35">
      <c r="A5" s="21" t="s">
        <v>35</v>
      </c>
      <c r="B5" s="21" t="s">
        <v>4</v>
      </c>
      <c r="C5" s="21" t="s">
        <v>5</v>
      </c>
      <c r="D5" s="21" t="s">
        <v>10</v>
      </c>
      <c r="E5" s="21" t="s">
        <v>47</v>
      </c>
      <c r="F5" t="s">
        <v>64</v>
      </c>
      <c r="G5" t="s">
        <v>66</v>
      </c>
      <c r="H5" s="7">
        <v>1</v>
      </c>
      <c r="I5" s="21" t="s">
        <v>51</v>
      </c>
    </row>
    <row r="6" spans="1:27" x14ac:dyDescent="0.35">
      <c r="A6" s="21" t="s">
        <v>35</v>
      </c>
      <c r="B6" s="21" t="s">
        <v>4</v>
      </c>
      <c r="C6" s="21" t="s">
        <v>5</v>
      </c>
      <c r="D6" s="21" t="s">
        <v>10</v>
      </c>
      <c r="E6" s="21" t="s">
        <v>47</v>
      </c>
      <c r="F6" t="s">
        <v>69</v>
      </c>
      <c r="G6" t="s">
        <v>71</v>
      </c>
      <c r="H6" s="7">
        <v>1</v>
      </c>
      <c r="I6" s="21" t="s">
        <v>51</v>
      </c>
    </row>
    <row r="7" spans="1:27" x14ac:dyDescent="0.35">
      <c r="A7" s="21" t="s">
        <v>35</v>
      </c>
      <c r="B7" s="21" t="s">
        <v>4</v>
      </c>
      <c r="C7" s="21" t="s">
        <v>5</v>
      </c>
      <c r="D7" s="21" t="s">
        <v>10</v>
      </c>
      <c r="E7" s="21" t="s">
        <v>47</v>
      </c>
      <c r="F7" t="s">
        <v>54</v>
      </c>
      <c r="G7" t="s">
        <v>56</v>
      </c>
      <c r="H7" s="7">
        <v>1</v>
      </c>
      <c r="I7" s="21" t="s">
        <v>51</v>
      </c>
    </row>
    <row r="8" spans="1:27" x14ac:dyDescent="0.35">
      <c r="A8" s="21" t="s">
        <v>35</v>
      </c>
      <c r="B8" s="21" t="s">
        <v>4</v>
      </c>
      <c r="C8" s="21" t="s">
        <v>5</v>
      </c>
      <c r="D8" s="21" t="s">
        <v>10</v>
      </c>
      <c r="E8" s="21" t="s">
        <v>47</v>
      </c>
      <c r="F8" t="s">
        <v>39</v>
      </c>
      <c r="G8" t="s">
        <v>41</v>
      </c>
      <c r="H8" s="7">
        <v>1</v>
      </c>
      <c r="I8" s="21" t="s">
        <v>51</v>
      </c>
    </row>
    <row r="9" spans="1:27" ht="18" customHeight="1" x14ac:dyDescent="0.35">
      <c r="A9" s="16" t="s">
        <v>86</v>
      </c>
      <c r="B9" s="16" t="s">
        <v>4</v>
      </c>
      <c r="C9" s="16" t="s">
        <v>5</v>
      </c>
      <c r="D9" s="16" t="s">
        <v>6</v>
      </c>
      <c r="E9" s="16" t="s">
        <v>87</v>
      </c>
      <c r="F9" s="16" t="s">
        <v>42</v>
      </c>
      <c r="G9" s="16" t="s">
        <v>42</v>
      </c>
      <c r="H9" s="17"/>
      <c r="I9" s="18" t="s">
        <v>51</v>
      </c>
      <c r="J9" s="17">
        <v>1</v>
      </c>
      <c r="L9" s="19">
        <v>8765</v>
      </c>
      <c r="M9" s="19">
        <v>10</v>
      </c>
      <c r="N9" s="19">
        <v>20</v>
      </c>
      <c r="O9" s="20">
        <f>(L9-(M9+N9))*J9</f>
        <v>8735</v>
      </c>
      <c r="AA9" t="s">
        <v>88</v>
      </c>
    </row>
    <row r="10" spans="1:27" ht="18" customHeight="1" x14ac:dyDescent="0.35">
      <c r="A10" s="16" t="s">
        <v>86</v>
      </c>
      <c r="B10" s="16" t="s">
        <v>4</v>
      </c>
      <c r="C10" s="16" t="s">
        <v>5</v>
      </c>
      <c r="D10" s="16" t="s">
        <v>7</v>
      </c>
      <c r="E10" s="16" t="s">
        <v>87</v>
      </c>
      <c r="F10" s="16" t="s">
        <v>42</v>
      </c>
      <c r="G10" s="16" t="s">
        <v>42</v>
      </c>
      <c r="H10" s="17"/>
      <c r="I10" s="18" t="s">
        <v>51</v>
      </c>
      <c r="J10" s="17">
        <v>1</v>
      </c>
      <c r="L10" s="19">
        <v>8766</v>
      </c>
      <c r="M10" s="19">
        <v>10</v>
      </c>
      <c r="N10" s="19">
        <v>20</v>
      </c>
      <c r="O10" s="20">
        <f>(L10-(M10+N10))*J10</f>
        <v>8736</v>
      </c>
      <c r="AA10" t="s">
        <v>89</v>
      </c>
    </row>
    <row r="11" spans="1:27" ht="18" customHeight="1" x14ac:dyDescent="0.35">
      <c r="A11" s="16" t="s">
        <v>86</v>
      </c>
      <c r="B11" s="16" t="s">
        <v>4</v>
      </c>
      <c r="C11" s="16" t="s">
        <v>5</v>
      </c>
      <c r="D11" s="16" t="s">
        <v>8</v>
      </c>
      <c r="E11" s="16" t="s">
        <v>87</v>
      </c>
      <c r="F11" s="16" t="s">
        <v>42</v>
      </c>
      <c r="G11" s="16" t="s">
        <v>42</v>
      </c>
      <c r="H11" s="17"/>
      <c r="I11" s="18" t="s">
        <v>51</v>
      </c>
      <c r="J11" s="17">
        <v>1</v>
      </c>
      <c r="L11" s="19">
        <v>8767</v>
      </c>
      <c r="M11" s="19">
        <v>10</v>
      </c>
      <c r="N11" s="19">
        <v>20</v>
      </c>
      <c r="O11" s="20">
        <f>(L11-(M11+N11))*J11</f>
        <v>8737</v>
      </c>
      <c r="AA11" t="s">
        <v>90</v>
      </c>
    </row>
    <row r="12" spans="1:27" ht="18" customHeight="1" x14ac:dyDescent="0.35">
      <c r="A12" s="16" t="s">
        <v>86</v>
      </c>
      <c r="B12" s="16" t="s">
        <v>4</v>
      </c>
      <c r="C12" s="16" t="s">
        <v>5</v>
      </c>
      <c r="D12" s="16" t="s">
        <v>9</v>
      </c>
      <c r="E12" s="16" t="s">
        <v>87</v>
      </c>
      <c r="F12" s="16" t="s">
        <v>42</v>
      </c>
      <c r="G12" s="16" t="s">
        <v>42</v>
      </c>
      <c r="H12" s="17"/>
      <c r="I12" s="18" t="s">
        <v>51</v>
      </c>
      <c r="J12" s="17">
        <v>1</v>
      </c>
      <c r="L12" s="19">
        <v>8768</v>
      </c>
      <c r="M12" s="19">
        <v>10</v>
      </c>
      <c r="N12" s="19">
        <v>20</v>
      </c>
      <c r="O12" s="20">
        <f>(L12-(M12+N12))*J12</f>
        <v>8738</v>
      </c>
      <c r="AA12" t="s">
        <v>91</v>
      </c>
    </row>
  </sheetData>
  <autoFilter ref="A2:O2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"/>
  <sheetViews>
    <sheetView tabSelected="1" topLeftCell="N1" workbookViewId="0">
      <selection activeCell="O10" sqref="O10"/>
    </sheetView>
  </sheetViews>
  <sheetFormatPr defaultRowHeight="14.5" x14ac:dyDescent="0.35"/>
  <cols>
    <col min="1" max="1" width="18" customWidth="1"/>
    <col min="2" max="2" width="22" customWidth="1"/>
    <col min="3" max="3" width="16" customWidth="1"/>
    <col min="4" max="4" width="20" customWidth="1"/>
    <col min="5" max="5" width="8" customWidth="1"/>
    <col min="6" max="6" width="20" customWidth="1"/>
    <col min="7" max="7" width="8" customWidth="1"/>
    <col min="8" max="8" width="18" customWidth="1"/>
    <col min="9" max="9" width="8" customWidth="1"/>
    <col min="10" max="10" width="32" customWidth="1"/>
    <col min="11" max="11" width="8" customWidth="1"/>
    <col min="12" max="12" width="10" customWidth="1"/>
    <col min="13" max="13" width="16" customWidth="1"/>
    <col min="14" max="14" width="12" customWidth="1"/>
    <col min="15" max="15" width="18" customWidth="1"/>
    <col min="16" max="16" width="20" customWidth="1"/>
    <col min="17" max="17" width="22" customWidth="1"/>
    <col min="18" max="18" width="20" customWidth="1"/>
    <col min="27" max="27" width="9" hidden="1" customWidth="1"/>
  </cols>
  <sheetData>
    <row r="1" spans="1:27" x14ac:dyDescent="0.35">
      <c r="A1" s="31" t="s">
        <v>92</v>
      </c>
      <c r="B1" s="31"/>
      <c r="C1" s="31"/>
      <c r="D1" s="31" t="s">
        <v>93</v>
      </c>
      <c r="E1" s="31"/>
      <c r="F1" s="31"/>
      <c r="G1" s="31"/>
      <c r="H1" s="31"/>
      <c r="I1" s="31"/>
      <c r="J1" s="31"/>
      <c r="K1" s="31"/>
      <c r="L1" s="22" t="s">
        <v>94</v>
      </c>
      <c r="M1" s="31" t="s">
        <v>95</v>
      </c>
      <c r="N1" s="31"/>
      <c r="O1" s="31"/>
      <c r="P1" s="31"/>
      <c r="Q1" s="31"/>
      <c r="R1" s="31"/>
    </row>
    <row r="2" spans="1:27" s="6" customFormat="1" x14ac:dyDescent="0.35">
      <c r="J2" s="23" t="s">
        <v>72</v>
      </c>
      <c r="L2" s="24">
        <f>SUM(L4:L7)</f>
        <v>55</v>
      </c>
      <c r="R2" s="25">
        <f>SUM(R4:R7)</f>
        <v>13759177</v>
      </c>
    </row>
    <row r="3" spans="1:27" ht="13.4" customHeight="1" x14ac:dyDescent="0.35">
      <c r="A3" s="26" t="s">
        <v>96</v>
      </c>
      <c r="B3" s="26" t="s">
        <v>97</v>
      </c>
      <c r="C3" s="26" t="s">
        <v>74</v>
      </c>
      <c r="D3" s="26" t="s">
        <v>98</v>
      </c>
      <c r="E3" s="26" t="s">
        <v>99</v>
      </c>
      <c r="F3" s="26" t="s">
        <v>66</v>
      </c>
      <c r="G3" s="26" t="s">
        <v>99</v>
      </c>
      <c r="H3" s="26" t="s">
        <v>100</v>
      </c>
      <c r="I3" s="26" t="s">
        <v>99</v>
      </c>
      <c r="J3" s="26" t="s">
        <v>101</v>
      </c>
      <c r="K3" s="26" t="s">
        <v>99</v>
      </c>
      <c r="L3" s="26" t="s">
        <v>102</v>
      </c>
      <c r="M3" s="26" t="s">
        <v>1</v>
      </c>
      <c r="N3" s="26" t="s">
        <v>103</v>
      </c>
      <c r="O3" s="27" t="s">
        <v>80</v>
      </c>
      <c r="P3" s="27" t="s">
        <v>81</v>
      </c>
      <c r="Q3" s="27" t="s">
        <v>82</v>
      </c>
      <c r="R3" s="27" t="s">
        <v>83</v>
      </c>
      <c r="AA3" t="s">
        <v>84</v>
      </c>
    </row>
    <row r="4" spans="1:27" x14ac:dyDescent="0.35">
      <c r="A4" t="s">
        <v>104</v>
      </c>
      <c r="B4" t="s">
        <v>105</v>
      </c>
      <c r="C4" t="s">
        <v>106</v>
      </c>
      <c r="D4" t="s">
        <v>107</v>
      </c>
      <c r="E4" s="28" t="s">
        <v>108</v>
      </c>
      <c r="F4" t="s">
        <v>109</v>
      </c>
      <c r="G4" s="28" t="s">
        <v>45</v>
      </c>
      <c r="H4" t="s">
        <v>110</v>
      </c>
      <c r="I4" s="28" t="s">
        <v>108</v>
      </c>
      <c r="J4" t="s">
        <v>111</v>
      </c>
      <c r="K4" s="28" t="s">
        <v>112</v>
      </c>
      <c r="L4" s="28">
        <v>12</v>
      </c>
      <c r="M4" t="s">
        <v>5</v>
      </c>
      <c r="N4" t="s">
        <v>73</v>
      </c>
      <c r="O4" s="29">
        <v>251645</v>
      </c>
      <c r="P4" s="29">
        <v>897</v>
      </c>
      <c r="Q4" s="29">
        <v>687</v>
      </c>
      <c r="R4" s="29">
        <f>(O4-(P4+Q4))*L4</f>
        <v>3000732</v>
      </c>
      <c r="AA4">
        <v>232305</v>
      </c>
    </row>
    <row r="5" spans="1:27" x14ac:dyDescent="0.35">
      <c r="A5" t="s">
        <v>104</v>
      </c>
      <c r="B5" t="s">
        <v>113</v>
      </c>
      <c r="C5" t="s">
        <v>106</v>
      </c>
      <c r="D5" t="s">
        <v>114</v>
      </c>
      <c r="E5" s="28" t="s">
        <v>108</v>
      </c>
      <c r="F5" t="s">
        <v>115</v>
      </c>
      <c r="G5" s="28" t="s">
        <v>45</v>
      </c>
      <c r="H5" t="s">
        <v>116</v>
      </c>
      <c r="I5" s="28" t="s">
        <v>108</v>
      </c>
      <c r="J5" t="s">
        <v>117</v>
      </c>
      <c r="K5" s="28" t="s">
        <v>112</v>
      </c>
      <c r="L5" s="28">
        <v>18</v>
      </c>
      <c r="M5" t="s">
        <v>5</v>
      </c>
      <c r="N5" t="s">
        <v>73</v>
      </c>
      <c r="O5" s="29">
        <v>251646</v>
      </c>
      <c r="P5" s="29">
        <v>898</v>
      </c>
      <c r="Q5" s="29">
        <v>688</v>
      </c>
      <c r="R5" s="29">
        <f>(O5-(P5+Q5))*L5</f>
        <v>4501080</v>
      </c>
      <c r="AA5">
        <v>232307</v>
      </c>
    </row>
    <row r="6" spans="1:27" x14ac:dyDescent="0.35">
      <c r="A6" t="s">
        <v>104</v>
      </c>
      <c r="B6" t="s">
        <v>118</v>
      </c>
      <c r="C6" t="s">
        <v>106</v>
      </c>
      <c r="D6" t="s">
        <v>114</v>
      </c>
      <c r="E6" s="28" t="s">
        <v>108</v>
      </c>
      <c r="F6" t="s">
        <v>119</v>
      </c>
      <c r="G6" s="28" t="s">
        <v>45</v>
      </c>
      <c r="H6" t="s">
        <v>120</v>
      </c>
      <c r="I6" s="28" t="s">
        <v>112</v>
      </c>
      <c r="J6" t="s">
        <v>121</v>
      </c>
      <c r="K6" s="28" t="s">
        <v>122</v>
      </c>
      <c r="L6" s="28">
        <v>15</v>
      </c>
      <c r="M6" t="s">
        <v>5</v>
      </c>
      <c r="N6" t="s">
        <v>73</v>
      </c>
      <c r="O6" s="29">
        <v>251647</v>
      </c>
      <c r="P6" s="29">
        <v>899</v>
      </c>
      <c r="Q6" s="29">
        <v>689</v>
      </c>
      <c r="R6" s="29">
        <f>(O6-(P6+Q6))*L6</f>
        <v>3750885</v>
      </c>
      <c r="AA6">
        <v>232306</v>
      </c>
    </row>
    <row r="7" spans="1:27" x14ac:dyDescent="0.35">
      <c r="A7" t="s">
        <v>104</v>
      </c>
      <c r="B7" t="s">
        <v>123</v>
      </c>
      <c r="C7" t="s">
        <v>124</v>
      </c>
      <c r="D7" t="s">
        <v>125</v>
      </c>
      <c r="E7" s="28" t="s">
        <v>108</v>
      </c>
      <c r="F7" t="s">
        <v>126</v>
      </c>
      <c r="G7" s="28" t="s">
        <v>45</v>
      </c>
      <c r="H7" t="s">
        <v>127</v>
      </c>
      <c r="I7" s="28" t="s">
        <v>45</v>
      </c>
      <c r="J7" t="s">
        <v>128</v>
      </c>
      <c r="K7" s="28" t="s">
        <v>108</v>
      </c>
      <c r="L7" s="28">
        <v>10</v>
      </c>
      <c r="M7" t="s">
        <v>5</v>
      </c>
      <c r="N7" t="s">
        <v>73</v>
      </c>
      <c r="O7" s="29">
        <v>251648</v>
      </c>
      <c r="P7" s="29">
        <v>900</v>
      </c>
      <c r="Q7" s="29">
        <v>100</v>
      </c>
      <c r="R7" s="29">
        <f>(O7-(P7+Q7))*L7</f>
        <v>2506480</v>
      </c>
      <c r="AA7">
        <v>232308</v>
      </c>
    </row>
  </sheetData>
  <mergeCells count="3">
    <mergeCell ref="A1:C1"/>
    <mergeCell ref="D1:K1"/>
    <mergeCell ref="M1:R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Raw Data</vt:lpstr>
      <vt:lpstr>Bid Form</vt:lpstr>
      <vt:lpstr>3rd Party Assets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2025-12-17T08:58:20Z</dcterms:created>
  <dcterms:modified xsi:type="dcterms:W3CDTF">2025-12-17T09:55:25Z</dcterms:modified>
  <cp:category/>
</cp:coreProperties>
</file>